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dia/image10.svg" ContentType="image/svg+xml"/>
  <Override PartName="/xl/media/image12.svg" ContentType="image/svg+xml"/>
  <Override PartName="/xl/media/image14.svg" ContentType="image/svg+xml"/>
  <Override PartName="/xl/media/image16.svg" ContentType="image/svg+xml"/>
  <Override PartName="/xl/media/image18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500"/>
  </bookViews>
  <sheets>
    <sheet name="Dashboard" sheetId="7" r:id="rId1"/>
    <sheet name="FG Store" sheetId="15" r:id="rId2"/>
    <sheet name="Sheet4" sheetId="18" state="hidden" r:id="rId3"/>
    <sheet name="Production" sheetId="1" r:id="rId4"/>
    <sheet name="Machines" sheetId="14" r:id="rId5"/>
    <sheet name="Production vs Sales" sheetId="4" r:id="rId6"/>
    <sheet name="Sales" sheetId="13" r:id="rId7"/>
    <sheet name="Downtime" sheetId="2" r:id="rId8"/>
    <sheet name="Raw Materials" sheetId="3" r:id="rId9"/>
    <sheet name="Manpower" sheetId="5" r:id="rId10"/>
    <sheet name="Calculations" sheetId="8" r:id="rId11"/>
    <sheet name="Prod FG" sheetId="11" state="hidden" r:id="rId12"/>
  </sheet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<sst xmlns="http://schemas.openxmlformats.org/spreadsheetml/2006/main" count="1348" uniqueCount="465">
  <si>
    <t>Production Trend</t>
  </si>
  <si>
    <t>Inventory Overview</t>
  </si>
  <si>
    <t>Maintenance &amp; Manpower</t>
  </si>
  <si>
    <t>S/N</t>
  </si>
  <si>
    <t>Product Name</t>
  </si>
  <si>
    <t>Category</t>
  </si>
  <si>
    <t>Prod WT.</t>
  </si>
  <si>
    <t>Stock</t>
  </si>
  <si>
    <t>In Kgs</t>
  </si>
  <si>
    <t>Powercool - 2 Ltr</t>
  </si>
  <si>
    <t>Virgin</t>
  </si>
  <si>
    <t>Powercool - 3Ltr</t>
  </si>
  <si>
    <t>Recycled</t>
  </si>
  <si>
    <t>Powercool - 5Ltr</t>
  </si>
  <si>
    <t>ZAFI CASSEROLE SET (2Ltr)</t>
  </si>
  <si>
    <t>-</t>
  </si>
  <si>
    <t>Corporate</t>
  </si>
  <si>
    <t>ZAFI CASSEROLE SET (1.5 Ltr)</t>
  </si>
  <si>
    <t>POWERCOOL 25</t>
  </si>
  <si>
    <t>POWERCOOL 35</t>
  </si>
  <si>
    <t>STAR FLOWER POT (LARGE)</t>
  </si>
  <si>
    <t>STAR FLOWER POT (Medium)</t>
  </si>
  <si>
    <t>STAR FLOWER POT (S) - 12 Pcs/Bag</t>
  </si>
  <si>
    <t>DELUXE FLOWER POT</t>
  </si>
  <si>
    <t>SUPER FLOWER POT</t>
  </si>
  <si>
    <t>Storage Box Large (6 Pcs/Bag)</t>
  </si>
  <si>
    <t>Storage Box Medium - (6pcs/Bag)</t>
  </si>
  <si>
    <t>Storage Box Small - (12pcs/Bag)</t>
  </si>
  <si>
    <t>Papilon Keep Afresh Cont - Large - (12Pcs/Bag)</t>
  </si>
  <si>
    <t>Papilon Keep Afresh Cont - Medium -(12Pcs/Bag)</t>
  </si>
  <si>
    <t>Papilon Keep Afresh Cont - Small - (12Pcs/Bag)</t>
  </si>
  <si>
    <t>Classic Table</t>
  </si>
  <si>
    <t>Happy Home Stool (1 Pcs/Bag)</t>
  </si>
  <si>
    <t>Leo Table Small</t>
  </si>
  <si>
    <t>Papilon Chair - Colours</t>
  </si>
  <si>
    <t>Papilon Chair - White</t>
  </si>
  <si>
    <t>Papilon Lion Chair</t>
  </si>
  <si>
    <t>Papilon Smart Stool</t>
  </si>
  <si>
    <t>Papilon Success Chair</t>
  </si>
  <si>
    <t>MegaCrate - Color</t>
  </si>
  <si>
    <t>Power Crate</t>
  </si>
  <si>
    <t>SUPER TABLE</t>
  </si>
  <si>
    <t>AMORE BABY BATH SET</t>
  </si>
  <si>
    <t>Amore Papilon Cabinet Junior</t>
  </si>
  <si>
    <t>Amore Papilon Cabinet Junior - Special</t>
  </si>
  <si>
    <t>CHAIR POTTY</t>
  </si>
  <si>
    <t>Classic Baby Bath Set - Plain</t>
  </si>
  <si>
    <t>LEO BABY BATH SET DECORATED</t>
  </si>
  <si>
    <t>200 LTR DRUM - BLACK (1 Pc / Bag)</t>
  </si>
  <si>
    <t>160 LTR DRUM - BLACK (1 Pc / Bag)</t>
  </si>
  <si>
    <t>120 Ltr Drum - Black</t>
  </si>
  <si>
    <t>100Ltr Drum - Black</t>
  </si>
  <si>
    <t>80LTR DRUM - BLACK (1 Pcs Per Bag)</t>
  </si>
  <si>
    <t>60 LTR DRUM - BLACK (1 Pc / Bag))</t>
  </si>
  <si>
    <t>40LTR DRUM - BLACK</t>
  </si>
  <si>
    <t>King Basin</t>
  </si>
  <si>
    <t>14"BOWL</t>
  </si>
  <si>
    <t>SUNRISE BOWL</t>
  </si>
  <si>
    <t>SUPER GAINT 80</t>
  </si>
  <si>
    <t>Classic Basin (12 Pcs/Bag)</t>
  </si>
  <si>
    <t>150Ltr Basin</t>
  </si>
  <si>
    <t>UTILITY BOWL - 1</t>
  </si>
  <si>
    <t>PAPILON 1 LTR ROUND CONTAINER</t>
  </si>
  <si>
    <t>Super Mop Bucket</t>
  </si>
  <si>
    <t>Crystal Spoon (1000 Pcs/Bag)</t>
  </si>
  <si>
    <t>Dust Pan Packer</t>
  </si>
  <si>
    <t>Smart strainer</t>
  </si>
  <si>
    <t>New gari container</t>
  </si>
  <si>
    <t>Coco Bowl (72 Pcs/Bag)</t>
  </si>
  <si>
    <t>Teddy holder</t>
  </si>
  <si>
    <t>New Step Bin</t>
  </si>
  <si>
    <t>Happy Cup - (120pcs / Bag)</t>
  </si>
  <si>
    <t>Diamond Mug (48 Pcs/Bag)</t>
  </si>
  <si>
    <t>Diamond Jug</t>
  </si>
  <si>
    <t>Diamond Jug with Mug</t>
  </si>
  <si>
    <t>Crystal Jug with Mug (12 Pcs/Bag)</t>
  </si>
  <si>
    <t>Elite Lunch Box</t>
  </si>
  <si>
    <t>Magic Food Flask</t>
  </si>
  <si>
    <t>Chairman Mug</t>
  </si>
  <si>
    <t>EMERALD DRT (4 Pcs/Bag)</t>
  </si>
  <si>
    <t>Dinner Plate (120 Pcs/Bag)</t>
  </si>
  <si>
    <t>Gardening Can (6 pcs / Bag)</t>
  </si>
  <si>
    <t>Child Doll Sets</t>
  </si>
  <si>
    <t>MOTOCICLO BIKE</t>
  </si>
  <si>
    <t>Premium Tray</t>
  </si>
  <si>
    <t>Pitcher Drink Set</t>
  </si>
  <si>
    <t>VIP LUNCH BOX</t>
  </si>
  <si>
    <t>Classic 16Ltr Black Bucket (12pcs/bg)</t>
  </si>
  <si>
    <t>13ltr Crystal Bucket</t>
  </si>
  <si>
    <t>9LTR CRYSTAL BUCKET</t>
  </si>
  <si>
    <t>5ltr Crystal Bucket</t>
  </si>
  <si>
    <t>2ltr Crystal Bucket</t>
  </si>
  <si>
    <t>13ltr Deep Bucket</t>
  </si>
  <si>
    <t>9ltr Deep Bucket</t>
  </si>
  <si>
    <t>5ltr Deep Bucket</t>
  </si>
  <si>
    <t>2ltr Deep Bucket</t>
  </si>
  <si>
    <t>Happy Life Bucket 15 Ltr</t>
  </si>
  <si>
    <t>Happy Life Bucket 11 Ltr</t>
  </si>
  <si>
    <t>Happy Life Bucket 9 Ltr</t>
  </si>
  <si>
    <t>Happy Life Bucket 7 Ltr</t>
  </si>
  <si>
    <t>Apple &amp; Pears 100gm Preform (190 Pcs/Bag)</t>
  </si>
  <si>
    <t>10ML MEASURING CUP</t>
  </si>
  <si>
    <t>15ML MEASURING CUP</t>
  </si>
  <si>
    <t>Darvinks NeoSkin Flip Cap</t>
  </si>
  <si>
    <t>Darvinks Visita Flip Cap</t>
  </si>
  <si>
    <t>Lush 250cc Jar - White (42 Pcs/Bag)</t>
  </si>
  <si>
    <t>IDL Shot Glass (500 Pcs/Bag)</t>
  </si>
  <si>
    <t>Perfetti - 1 Ltr Lid (600 Pcs/Ctn)</t>
  </si>
  <si>
    <t>Perfetti Cup 1 Ltr (600 Pcs/Ctn)</t>
  </si>
  <si>
    <t>Neoskin 165ml Bottle (500 Pcs/Bag)</t>
  </si>
  <si>
    <t>Visita 30gm Jar (1000 Pcs/Bag)</t>
  </si>
  <si>
    <t>Visita 380ml Bottle (300 Pcs/Bag)</t>
  </si>
  <si>
    <t>Plain Twister Medium</t>
  </si>
  <si>
    <t>Lush 500cc Jar (20pcs/Bag)</t>
  </si>
  <si>
    <t>Jasmine Flip Cap (1000/Bag)</t>
  </si>
  <si>
    <t>PP 1000 Star Pack</t>
  </si>
  <si>
    <t>PP 1000 THE PLACE</t>
  </si>
  <si>
    <t>Leo Decorated 12ltr Bucket Without Cover - Branded (12pcs/Bag)</t>
  </si>
  <si>
    <t>Papilon Serving Spoon</t>
  </si>
  <si>
    <t>PP 750 Star Pack</t>
  </si>
  <si>
    <t>PET - 120ml Round Jar (400 Pcs/Bag)</t>
  </si>
  <si>
    <t>PET - 200ml Round Jar (200 Pcs/Bag)</t>
  </si>
  <si>
    <t>PET - 250ml Square Jar (200 Pcs/Bag)</t>
  </si>
  <si>
    <t>PET - 500ml Round Jar (48 Pcs/Bag)</t>
  </si>
  <si>
    <t>PET - 750ml Round Jar (24 Pcs/Bag)</t>
  </si>
  <si>
    <t>Papilon Aquapure 500ml (72 Pcs/Bag)</t>
  </si>
  <si>
    <t>Papilon Aquapure 600ml (60 Pcs/Bag)</t>
  </si>
  <si>
    <t>Papilon Aquapure 750ml (60 Pcs/Bag)</t>
  </si>
  <si>
    <t>Papilon Aquapure 900ml (48 Pcs/Bag)</t>
  </si>
  <si>
    <t>Pap-20cc Jar (2000 Pcs/Bag)</t>
  </si>
  <si>
    <t>Pap-20cc Body Only (2000 Pcs/Bag)</t>
  </si>
  <si>
    <t>Pap-50cc Jar (500 Pcs/Bag)</t>
  </si>
  <si>
    <t>Pap-90cc Jar (500 Pcs/Bag)</t>
  </si>
  <si>
    <t>Papilon 40gm Cap (5000 Pcs/Bag)</t>
  </si>
  <si>
    <t>Papilon 40gm Container (1000 Pcs/Bag)</t>
  </si>
  <si>
    <t>Papilon 55gm Cap (2400 Pcs/Bag)</t>
  </si>
  <si>
    <t>Papilon 55gm Container (800 Pcs/Bag)</t>
  </si>
  <si>
    <t>Papilon 100gm Cap (2000 Pcs/Bag)</t>
  </si>
  <si>
    <t>Papilon 100gm Container (500 Pcs/Bag)</t>
  </si>
  <si>
    <t>Row Labels</t>
  </si>
  <si>
    <t>Sum of Target In Kgs</t>
  </si>
  <si>
    <t>Sum of Achieved in Kgs</t>
  </si>
  <si>
    <t>TFM</t>
  </si>
  <si>
    <t>MI</t>
  </si>
  <si>
    <t>LI</t>
  </si>
  <si>
    <t>IBM</t>
  </si>
  <si>
    <t>HT</t>
  </si>
  <si>
    <t>Blow</t>
  </si>
  <si>
    <t>Grand Total</t>
  </si>
  <si>
    <t>Date</t>
  </si>
  <si>
    <t>Department</t>
  </si>
  <si>
    <t>Machine</t>
  </si>
  <si>
    <t>Target In Kgs</t>
  </si>
  <si>
    <t>Achieved in Kgs</t>
  </si>
  <si>
    <t>Var %</t>
  </si>
  <si>
    <t>LI-40-HT-600</t>
  </si>
  <si>
    <t>LI-41-HXM-630</t>
  </si>
  <si>
    <t>LI-42-HT-700</t>
  </si>
  <si>
    <t>LI-43-OM-910</t>
  </si>
  <si>
    <t>LI-44-HXM-830</t>
  </si>
  <si>
    <t>LI-45-HT-1000</t>
  </si>
  <si>
    <t>LI-46-HT-1000</t>
  </si>
  <si>
    <t>LI-47-HXM-1100</t>
  </si>
  <si>
    <t>MI-01-HT-86</t>
  </si>
  <si>
    <t>MI-02-HT-86</t>
  </si>
  <si>
    <t>MI-03-FU-110</t>
  </si>
  <si>
    <t>MI-04-FU-110</t>
  </si>
  <si>
    <t>MI-05-HT-120</t>
  </si>
  <si>
    <t>MI-06-HT-120</t>
  </si>
  <si>
    <t>MI-07-HT-120</t>
  </si>
  <si>
    <t>MI-08-FU-150</t>
  </si>
  <si>
    <t>MI-09-FU-150</t>
  </si>
  <si>
    <t>MI-10-HT-160</t>
  </si>
  <si>
    <t>MI-11-HT-160</t>
  </si>
  <si>
    <t>MI-12-HT-160</t>
  </si>
  <si>
    <t>MI-13-FU-180</t>
  </si>
  <si>
    <t>MI-15-HT-200</t>
  </si>
  <si>
    <t>MI-16-HT-200</t>
  </si>
  <si>
    <t>MI-17-HT-200</t>
  </si>
  <si>
    <t>MI-18-HT-250</t>
  </si>
  <si>
    <t>MI-19-HT-250</t>
  </si>
  <si>
    <t>MI-20-FU-280</t>
  </si>
  <si>
    <t>MI-21-HT-300</t>
  </si>
  <si>
    <t>MI-22-HT-300</t>
  </si>
  <si>
    <t>MI-23-HT-300</t>
  </si>
  <si>
    <t>MI-24-OM-350</t>
  </si>
  <si>
    <t>MI-25-OM-350</t>
  </si>
  <si>
    <t>MI-26-OM-450</t>
  </si>
  <si>
    <t>HT-27-HT-270</t>
  </si>
  <si>
    <t>HT-28-HT-270</t>
  </si>
  <si>
    <t>HT-29-HT-270</t>
  </si>
  <si>
    <t>HT-30-HT-270</t>
  </si>
  <si>
    <t>HT-31-HT-270</t>
  </si>
  <si>
    <t>HT-32-FERO-275</t>
  </si>
  <si>
    <t>HT-34-FERO-200</t>
  </si>
  <si>
    <t>HT-35-HXH-260</t>
  </si>
  <si>
    <t>HT-36-HXH-260</t>
  </si>
  <si>
    <t>HT-37-HXH-260</t>
  </si>
  <si>
    <t>HT-38-HXH-260</t>
  </si>
  <si>
    <t>HT-39-HXH-260</t>
  </si>
  <si>
    <t>HT-48-IBM-50A</t>
  </si>
  <si>
    <t>HT-49-IBM-50B</t>
  </si>
  <si>
    <t>HT-50-IBM-50C</t>
  </si>
  <si>
    <t>HT-51-IBM-50D</t>
  </si>
  <si>
    <t>TFM-1</t>
  </si>
  <si>
    <t>TFM-2</t>
  </si>
  <si>
    <t>BL-JM-5ltr</t>
  </si>
  <si>
    <t>BL-JM-15ltr</t>
  </si>
  <si>
    <t>Machines</t>
  </si>
  <si>
    <t>Status</t>
  </si>
  <si>
    <t>Running</t>
  </si>
  <si>
    <t>Production Support</t>
  </si>
  <si>
    <t>Idle</t>
  </si>
  <si>
    <t>Support Department</t>
  </si>
  <si>
    <t>Running Status</t>
  </si>
  <si>
    <t>Breakdown</t>
  </si>
  <si>
    <t>Pet Blow</t>
  </si>
  <si>
    <t>Total Machines</t>
  </si>
  <si>
    <t>Foiling</t>
  </si>
  <si>
    <t>Grinding</t>
  </si>
  <si>
    <t>Ultrasonic Welding</t>
  </si>
  <si>
    <t>Mixing Section</t>
  </si>
  <si>
    <t>Assembly</t>
  </si>
  <si>
    <t>Active</t>
  </si>
  <si>
    <t>Mold / Machines</t>
  </si>
  <si>
    <t>Durations</t>
  </si>
  <si>
    <t>Papilon Chair</t>
  </si>
  <si>
    <t>160ltr Drum Body</t>
  </si>
  <si>
    <t>The Place Container</t>
  </si>
  <si>
    <t>Pet Blow Compressor</t>
  </si>
  <si>
    <t>Chiller Compressor</t>
  </si>
  <si>
    <t>Average</t>
  </si>
  <si>
    <t>Sales Target:</t>
  </si>
  <si>
    <t>Produced Qty</t>
  </si>
  <si>
    <t>Produced Kgs</t>
  </si>
  <si>
    <t>Sales Qty</t>
  </si>
  <si>
    <t>Sales Kgs</t>
  </si>
  <si>
    <t>Production</t>
  </si>
  <si>
    <t>Sales</t>
  </si>
  <si>
    <t>Mold/Machine</t>
  </si>
  <si>
    <t>Reason</t>
  </si>
  <si>
    <t>Duration (hrs)</t>
  </si>
  <si>
    <t>Machine Breakdown</t>
  </si>
  <si>
    <t>Count</t>
  </si>
  <si>
    <t>Available Hrs for 53 Machines</t>
  </si>
  <si>
    <t>Minimum Available Hrs Per Day</t>
  </si>
  <si>
    <t>Planned and Unplanned Downtime</t>
  </si>
  <si>
    <t>Mould Breakdown</t>
  </si>
  <si>
    <t>Item</t>
  </si>
  <si>
    <t>Opening in Kgs</t>
  </si>
  <si>
    <t>Inward in Kgs</t>
  </si>
  <si>
    <t>Outward in Kgs</t>
  </si>
  <si>
    <t>Closing in Kgs</t>
  </si>
  <si>
    <t>PPHP Chair</t>
  </si>
  <si>
    <t>Chair Grinding</t>
  </si>
  <si>
    <t>Random High</t>
  </si>
  <si>
    <t>Random Low</t>
  </si>
  <si>
    <t>In-House Grinding</t>
  </si>
  <si>
    <t>PPCP Chair</t>
  </si>
  <si>
    <t>Blue Palletizer</t>
  </si>
  <si>
    <t>Green Palletizer</t>
  </si>
  <si>
    <t>Raffia</t>
  </si>
  <si>
    <t>Red  Palletizer</t>
  </si>
  <si>
    <t>PPCP House</t>
  </si>
  <si>
    <t>HDPE Blow</t>
  </si>
  <si>
    <t>Pet Grinding</t>
  </si>
  <si>
    <t>Pet Resin</t>
  </si>
  <si>
    <t>Battery Palletizer</t>
  </si>
  <si>
    <t>Purple Palletizer</t>
  </si>
  <si>
    <t>MB CERAMIC BLUE</t>
  </si>
  <si>
    <t>CH - POLYOL</t>
  </si>
  <si>
    <t>MB RTN LT BLUE</t>
  </si>
  <si>
    <t>MB MARBLE PEACH</t>
  </si>
  <si>
    <t>CH - MDI</t>
  </si>
  <si>
    <t>MB MARBLE WHITE 17</t>
  </si>
  <si>
    <t>MB JAZZY GREEN</t>
  </si>
  <si>
    <t>Yellow Palletizer</t>
  </si>
  <si>
    <t>MB JAZZY TURQUOISE BLUE</t>
  </si>
  <si>
    <t>White Palletizer</t>
  </si>
  <si>
    <t>MB Mango Orange</t>
  </si>
  <si>
    <t>HDPE INJECTION</t>
  </si>
  <si>
    <t>Trans Palletizer</t>
  </si>
  <si>
    <t>MB Orange 1517</t>
  </si>
  <si>
    <t>BRIGHT YELLOW</t>
  </si>
  <si>
    <t>MB White</t>
  </si>
  <si>
    <t>Black Palletizer</t>
  </si>
  <si>
    <t>MB Blue S</t>
  </si>
  <si>
    <t>MB Purple Red</t>
  </si>
  <si>
    <t>MB Green S</t>
  </si>
  <si>
    <t>Sky Blue 1322</t>
  </si>
  <si>
    <t>Compounding Filler</t>
  </si>
  <si>
    <t>MB Ivory Cream</t>
  </si>
  <si>
    <t>MB Purple KM</t>
  </si>
  <si>
    <t>MB - Light Blue 0376F</t>
  </si>
  <si>
    <t>LIGHT ORANGE</t>
  </si>
  <si>
    <t>MB Dark Voilet</t>
  </si>
  <si>
    <t>MB - Fine Green 1899</t>
  </si>
  <si>
    <t>MB Pink 1832</t>
  </si>
  <si>
    <t xml:space="preserve">MB - PNT PURPLE </t>
  </si>
  <si>
    <t xml:space="preserve">MB Baby Peach </t>
  </si>
  <si>
    <t>MB Lavender Blue</t>
  </si>
  <si>
    <t>MB Brick Orange</t>
  </si>
  <si>
    <t>MB Dark Blue</t>
  </si>
  <si>
    <t>MB Mint Green</t>
  </si>
  <si>
    <t>MB Nite Blue</t>
  </si>
  <si>
    <t>MB Turquoise Green</t>
  </si>
  <si>
    <t>MB Black</t>
  </si>
  <si>
    <t>MB Peach 22070</t>
  </si>
  <si>
    <t>MB Film Yellow</t>
  </si>
  <si>
    <t>MB Parrot Green</t>
  </si>
  <si>
    <t>MB Silver SLV 890</t>
  </si>
  <si>
    <t>MB Voltic Blue</t>
  </si>
  <si>
    <t>MB Bright Red</t>
  </si>
  <si>
    <t>MB Lemon Yellow</t>
  </si>
  <si>
    <t>MB Pearl Silver</t>
  </si>
  <si>
    <t>MB Bic Green</t>
  </si>
  <si>
    <t>MB - Dark Brown 62000</t>
  </si>
  <si>
    <t>MB Orange S</t>
  </si>
  <si>
    <t>LDPE INJECTION</t>
  </si>
  <si>
    <t>MB RTN M PEACH</t>
  </si>
  <si>
    <t>MB RTN C GREEN</t>
  </si>
  <si>
    <t>MB Beige</t>
  </si>
  <si>
    <t>MB Metallic Blue</t>
  </si>
  <si>
    <t>MB Sunny Yellow</t>
  </si>
  <si>
    <t>MB Pet Black</t>
  </si>
  <si>
    <t>MB Water blue</t>
  </si>
  <si>
    <t>GPPS</t>
  </si>
  <si>
    <t>Blow Palletizer</t>
  </si>
  <si>
    <t>HDPE CRATE GRINDING</t>
  </si>
  <si>
    <t>Black Grinding</t>
  </si>
  <si>
    <t>PP Grinding</t>
  </si>
  <si>
    <t>MB PS - Yellow 2217</t>
  </si>
  <si>
    <t>MB - ONION PINK</t>
  </si>
  <si>
    <t>MB Passion Yellow</t>
  </si>
  <si>
    <t>Gold Extra</t>
  </si>
  <si>
    <t>MB Royal Blue</t>
  </si>
  <si>
    <t>Pen Blue 1325</t>
  </si>
  <si>
    <t>MB - NATIONAL BABY BLUE</t>
  </si>
  <si>
    <t>MB - PIONEER GREEN</t>
  </si>
  <si>
    <t>PS GREEN</t>
  </si>
  <si>
    <t>PS PURPLE</t>
  </si>
  <si>
    <t>PS RED</t>
  </si>
  <si>
    <t>MB Light Yellow</t>
  </si>
  <si>
    <t>MB Pet White</t>
  </si>
  <si>
    <t>Trans Green</t>
  </si>
  <si>
    <t>Trans Pink</t>
  </si>
  <si>
    <t>Target Headcount</t>
  </si>
  <si>
    <t>Present</t>
  </si>
  <si>
    <t>Absent</t>
  </si>
  <si>
    <t>Large Injection</t>
  </si>
  <si>
    <t>Modern Injection</t>
  </si>
  <si>
    <t>Hi-Tech</t>
  </si>
  <si>
    <t>IBM Section</t>
  </si>
  <si>
    <t>Blow Section</t>
  </si>
  <si>
    <t>TFM Extrusion</t>
  </si>
  <si>
    <t>Total Production (Kgs)</t>
  </si>
  <si>
    <t>Achieved</t>
  </si>
  <si>
    <t>Target</t>
  </si>
  <si>
    <t>Production Efficiency</t>
  </si>
  <si>
    <t>Production Target</t>
  </si>
  <si>
    <t>Downtime (Hrs)</t>
  </si>
  <si>
    <t>Downtime Target (Hrs)</t>
  </si>
  <si>
    <t>Total RM Stock (Kg)</t>
  </si>
  <si>
    <t>Total Inward (Kg)</t>
  </si>
  <si>
    <t>Total Outward (Kg)</t>
  </si>
  <si>
    <t>Today's FG. Transfer (Kg)</t>
  </si>
  <si>
    <t>Total FG Stock (Kg)</t>
  </si>
  <si>
    <t>Energy Consumed (kwh)</t>
  </si>
  <si>
    <t>Per Kg:</t>
  </si>
  <si>
    <t>Total FG Inward (Kg)</t>
  </si>
  <si>
    <t>SFG Opening (Kg)</t>
  </si>
  <si>
    <t>Total SFG Stock (Kg)</t>
  </si>
  <si>
    <t>Total Manpower</t>
  </si>
  <si>
    <t>Washing Line</t>
  </si>
  <si>
    <t>Target in Kgs</t>
  </si>
  <si>
    <t>Recycling Department</t>
  </si>
  <si>
    <t>Mold Breakdown</t>
  </si>
  <si>
    <t>MTTR</t>
  </si>
  <si>
    <t>PPM</t>
  </si>
  <si>
    <t>Prod WT</t>
  </si>
  <si>
    <t>ZAFI CASSEROLE SET 2 (1.5/2Ltr)</t>
  </si>
  <si>
    <t>POWERCOOL 60</t>
  </si>
  <si>
    <t>Powercool - 8Ltr</t>
  </si>
  <si>
    <t>13ltr Crystal Bucket - Branded</t>
  </si>
  <si>
    <t>8 Ltr Basin - Branded - Inactive</t>
  </si>
  <si>
    <t>Amore 9 Ltr Bucket with Cover - Branded (12pcs/Bag)</t>
  </si>
  <si>
    <t>Amore 9 Ltr Bucket Without Cover - Branded (12pcs/Bag)</t>
  </si>
  <si>
    <t>BIG SERVING TRAY</t>
  </si>
  <si>
    <t>Chrish Cap (600 Pcs/Bag)</t>
  </si>
  <si>
    <t>Darvinks Neoskin Flip Cap</t>
  </si>
  <si>
    <t>Darvinks Neoskin Flip Cap (1000pcs/Bag)</t>
  </si>
  <si>
    <t>Darvinks Visita Flip Cap (1000pcs/Bag)</t>
  </si>
  <si>
    <t>Leo Achiever Branded - 1000pcs - Inactive</t>
  </si>
  <si>
    <t>Leo Achiever Branded - 2500 Pcs/Ctn - Inactive</t>
  </si>
  <si>
    <t>Measuring Cup-Ctn - Inactive</t>
  </si>
  <si>
    <t>Mega Serving Tray</t>
  </si>
  <si>
    <t>Papilon Branded Pen - 2500 Pcs/Ctn</t>
  </si>
  <si>
    <t>Pap Top 15 Ltr Bucket - Branded</t>
  </si>
  <si>
    <t>PLAIN TWISTER MEDIUM</t>
  </si>
  <si>
    <t>Premium Tray - Branded (60 Pcs/Bag)</t>
  </si>
  <si>
    <t>SUNRISE BOWL - Branded</t>
  </si>
  <si>
    <t>80LTR DRUM - BLACK (6 Pcs Per Bag)-Inactive</t>
  </si>
  <si>
    <t>Utility Bowl -3</t>
  </si>
  <si>
    <t>CLASSIC 1.5LTR MUG</t>
  </si>
  <si>
    <t>Classic Step Bin</t>
  </si>
  <si>
    <t>Disposable Fork</t>
  </si>
  <si>
    <t>DUST PAN PACKER</t>
  </si>
  <si>
    <t>Egg Tray - Big</t>
  </si>
  <si>
    <t>EMERALD DRT</t>
  </si>
  <si>
    <t>HAND FAN</t>
  </si>
  <si>
    <t>New GARI Container</t>
  </si>
  <si>
    <t>PAP 2000</t>
  </si>
  <si>
    <t>Papilon Serving Spoon - Branded</t>
  </si>
  <si>
    <t>Pap Top 11 Ltr Bucket</t>
  </si>
  <si>
    <t>Pap Top 15 Ltr Bucket</t>
  </si>
  <si>
    <t>Pap Top 7 Ltr Bucket</t>
  </si>
  <si>
    <t>Pap Top 9 Ltr Bucket</t>
  </si>
  <si>
    <t>Smart Strainer</t>
  </si>
  <si>
    <t>Storage Box Large (12 Pcs/Bag) - Inactive</t>
  </si>
  <si>
    <t>USA BOWL (24 Pcs/Bag)</t>
  </si>
  <si>
    <t>Amore Papilon Cabinet Large</t>
  </si>
  <si>
    <t>ICE CREAM ITALIA (2500 Pcs/Bag)</t>
  </si>
  <si>
    <t>Deep Storage Box Large</t>
  </si>
  <si>
    <t>Deep Storage Box Medium</t>
  </si>
  <si>
    <t>Deep Storage Box Small</t>
  </si>
  <si>
    <t>Diamond Mug (24 Pcs/Bag)</t>
  </si>
  <si>
    <t>Elite Basket - (6 Pcs/Bag)</t>
  </si>
  <si>
    <t>Elite Mug - (12 Pcs/Bag) - Inactive</t>
  </si>
  <si>
    <t>Elite Mug - (48 Pcs/Bag)</t>
  </si>
  <si>
    <t>Furah Spoon - (120pcs/Bag)</t>
  </si>
  <si>
    <t>Papilon Baby Bath Set Deco - Special</t>
  </si>
  <si>
    <t>Papilon Baby Bath Set Deco - Special with Stool</t>
  </si>
  <si>
    <t>Papilon Baby Bath Set Spl - U/R Col - (8)</t>
  </si>
  <si>
    <t>Papilon Baby Bath Set Spl - U/R Col - (9)</t>
  </si>
  <si>
    <t>Papilon Baby Bath Set Spl - U/R Trans - (8)</t>
  </si>
  <si>
    <t>Papilon Baby Bath Set Spl - U/R Trans - (9)</t>
  </si>
  <si>
    <t>PAPILON SUPER STOOL</t>
  </si>
  <si>
    <t>Premium King Basin</t>
  </si>
  <si>
    <t>Teddy Holder</t>
  </si>
  <si>
    <t>Unique Strainer - Inactive</t>
  </si>
  <si>
    <t>HB 06</t>
  </si>
  <si>
    <t>PB01</t>
  </si>
  <si>
    <t>Black - MegaCrate</t>
  </si>
  <si>
    <t>CHILDREN DECORATED TABLE</t>
  </si>
  <si>
    <t>CHILDREN TABLE</t>
  </si>
  <si>
    <t>EXECUTIVE CHAIR</t>
  </si>
  <si>
    <t>Leo Table Big</t>
  </si>
  <si>
    <t>PAPILON PREMIUM TABLE</t>
  </si>
  <si>
    <t>Papilon Stool</t>
  </si>
  <si>
    <t>Soul Chair - Inactive</t>
  </si>
  <si>
    <t>SSTABLE TOP WITH 4 LEG - Inactive</t>
  </si>
  <si>
    <t>Afro Cap (500 Pcs/Bag)</t>
  </si>
  <si>
    <t>Lush 250cc Cap (42 Pcs/Bag)</t>
  </si>
  <si>
    <t>Lush 250cc Jar - Trans (42 Pcs/Bag)</t>
  </si>
  <si>
    <t>Lush Flip Cap (250pcs/Bag)</t>
  </si>
  <si>
    <t>Pap-50cc Cap Only (3000 Pcs/Bag)</t>
  </si>
  <si>
    <t>53mm Flip Top Cap (200 Pcs/Bag)</t>
  </si>
  <si>
    <t>IDL Shot Glass (200 Pcs/Bag)</t>
  </si>
  <si>
    <t>Papilon 53mm Square</t>
  </si>
  <si>
    <t>Papilon Aquapure 500ml (12 Pcs/Bag)</t>
  </si>
  <si>
    <t>Papilon Aquapure 600ml (12 Pcs/Bag)</t>
  </si>
  <si>
    <t>Papilon Aquapure 750ml (12 Pcs/Bag)</t>
  </si>
  <si>
    <t>Papilon Aquapure 900ml (12 Pcs/Bag)</t>
  </si>
  <si>
    <t>Star Cup 210MM - Inactive</t>
  </si>
  <si>
    <t>Star Cup Carton 210MM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</si>
</sst>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 * #,##0.00_ ;_ * \-#,##0.00_ ;_ * &quot;-&quot;??.00_ ;_ @_ "/>
    <numFmt numFmtId="180" formatCode="#,##0&quot; Hrs&quot;"/>
    <numFmt numFmtId="181" formatCode="[h]:mm"/>
    <numFmt numFmtId="182" formatCode="[$-409]dd\-mmm\-yy;@"/>
    <numFmt numFmtId="183" formatCode="[$]dd/mm/yyyy;@"/>
    <numFmt numFmtId="184" formatCode="_ * #,##0.0_ ;_ * \-#,##0.0_ ;_ * &quot;-&quot;??_ ;_ @_ "/>
  </numFmts>
  <fonts count="2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right" vertical="center" readingOrder="1"/>
    </xf>
    <xf numFmtId="0" fontId="0" fillId="0" borderId="0" xfId="0" applyAlignment="1">
      <alignment vertical="center"/>
    </xf>
    <xf numFmtId="0" fontId="0" fillId="3" borderId="1" xfId="0" applyFill="1" applyBorder="1"/>
    <xf numFmtId="0" fontId="0" fillId="0" borderId="1" xfId="0" applyBorder="1"/>
    <xf numFmtId="178" fontId="0" fillId="0" borderId="1" xfId="1" applyNumberFormat="1" applyFont="1" applyBorder="1" applyAlignment="1"/>
    <xf numFmtId="9" fontId="0" fillId="0" borderId="0" xfId="3" applyFont="1" applyAlignment="1"/>
    <xf numFmtId="9" fontId="0" fillId="0" borderId="1" xfId="3" applyFont="1" applyBorder="1" applyAlignment="1"/>
    <xf numFmtId="179" fontId="0" fillId="0" borderId="1" xfId="1" applyNumberFormat="1" applyFont="1" applyBorder="1" applyAlignment="1"/>
    <xf numFmtId="0" fontId="3" fillId="3" borderId="1" xfId="0" applyFont="1" applyFill="1" applyBorder="1"/>
    <xf numFmtId="180" fontId="0" fillId="0" borderId="1" xfId="0" applyNumberFormat="1" applyBorder="1"/>
    <xf numFmtId="0" fontId="3" fillId="0" borderId="1" xfId="0" applyFont="1" applyBorder="1"/>
    <xf numFmtId="176" fontId="0" fillId="0" borderId="1" xfId="1" applyFont="1" applyBorder="1" applyAlignment="1"/>
    <xf numFmtId="178" fontId="0" fillId="0" borderId="1" xfId="0" applyNumberFormat="1" applyBorder="1"/>
    <xf numFmtId="178" fontId="4" fillId="0" borderId="1" xfId="1" applyNumberFormat="1" applyFont="1" applyBorder="1" applyAlignment="1"/>
    <xf numFmtId="178" fontId="3" fillId="0" borderId="1" xfId="1" applyNumberFormat="1" applyFont="1" applyBorder="1" applyAlignment="1"/>
    <xf numFmtId="181" fontId="0" fillId="0" borderId="1" xfId="0" applyNumberFormat="1" applyBorder="1"/>
    <xf numFmtId="182" fontId="1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0" xfId="0" applyFont="1" applyFill="1"/>
    <xf numFmtId="58" fontId="0" fillId="0" borderId="1" xfId="0" applyNumberFormat="1" applyBorder="1"/>
    <xf numFmtId="0" fontId="5" fillId="0" borderId="1" xfId="0" applyFont="1" applyBorder="1"/>
    <xf numFmtId="178" fontId="0" fillId="3" borderId="1" xfId="1" applyNumberFormat="1" applyFont="1" applyFill="1" applyBorder="1" applyAlignment="1"/>
    <xf numFmtId="0" fontId="5" fillId="3" borderId="1" xfId="0" applyFont="1" applyFill="1" applyBorder="1" applyAlignment="1">
      <alignment vertical="center"/>
    </xf>
    <xf numFmtId="182" fontId="0" fillId="0" borderId="1" xfId="0" applyNumberFormat="1" applyBorder="1"/>
    <xf numFmtId="0" fontId="0" fillId="0" borderId="0" xfId="0" applyAlignment="1">
      <alignment vertical="center" wrapText="1"/>
    </xf>
    <xf numFmtId="4" fontId="0" fillId="0" borderId="0" xfId="0" applyNumberFormat="1"/>
    <xf numFmtId="179" fontId="5" fillId="3" borderId="1" xfId="1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8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3" fontId="0" fillId="0" borderId="1" xfId="1" applyNumberFormat="1" applyFont="1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76" fontId="0" fillId="0" borderId="1" xfId="1" applyFont="1" applyBorder="1" applyAlignment="1">
      <alignment vertical="center"/>
    </xf>
    <xf numFmtId="178" fontId="0" fillId="0" borderId="0" xfId="1" applyNumberFormat="1" applyFont="1" applyAlignment="1">
      <alignment vertical="center"/>
    </xf>
    <xf numFmtId="176" fontId="5" fillId="3" borderId="1" xfId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9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3" fillId="0" borderId="0" xfId="0" applyFont="1"/>
    <xf numFmtId="181" fontId="7" fillId="0" borderId="1" xfId="0" applyNumberFormat="1" applyFont="1" applyBorder="1" applyAlignment="1">
      <alignment horizontal="right"/>
    </xf>
    <xf numFmtId="0" fontId="8" fillId="0" borderId="1" xfId="0" applyFont="1" applyBorder="1"/>
    <xf numFmtId="178" fontId="5" fillId="3" borderId="1" xfId="1" applyNumberFormat="1" applyFont="1" applyFill="1" applyBorder="1" applyAlignment="1">
      <alignment vertical="center"/>
    </xf>
    <xf numFmtId="9" fontId="5" fillId="3" borderId="1" xfId="3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82" fontId="5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vertical="center" wrapText="1" readingOrder="1"/>
    </xf>
    <xf numFmtId="178" fontId="9" fillId="0" borderId="1" xfId="1" applyNumberFormat="1" applyFont="1" applyFill="1" applyBorder="1" applyAlignment="1">
      <alignment horizontal="right" vertical="center" wrapText="1" readingOrder="1"/>
    </xf>
    <xf numFmtId="9" fontId="5" fillId="0" borderId="1" xfId="3" applyFont="1" applyBorder="1" applyAlignment="1">
      <alignment vertical="center"/>
    </xf>
    <xf numFmtId="0" fontId="0" fillId="0" borderId="0" xfId="0" applyAlignment="1">
      <alignment horizontal="left"/>
    </xf>
    <xf numFmtId="178" fontId="0" fillId="0" borderId="0" xfId="0" applyNumberFormat="1"/>
    <xf numFmtId="178" fontId="5" fillId="0" borderId="1" xfId="1" applyNumberFormat="1" applyFont="1" applyFill="1" applyBorder="1" applyAlignment="1">
      <alignment vertical="center"/>
    </xf>
    <xf numFmtId="9" fontId="5" fillId="0" borderId="1" xfId="3" applyFont="1" applyFill="1" applyBorder="1" applyAlignment="1">
      <alignment vertical="center"/>
    </xf>
    <xf numFmtId="176" fontId="7" fillId="3" borderId="1" xfId="1" applyFont="1" applyFill="1" applyBorder="1" applyAlignment="1">
      <alignment vertical="center"/>
    </xf>
    <xf numFmtId="183" fontId="0" fillId="0" borderId="1" xfId="0" applyNumberFormat="1" applyBorder="1" applyAlignment="1">
      <alignment horizontal="left" vertical="center"/>
    </xf>
    <xf numFmtId="184" fontId="0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numFmt numFmtId="178" formatCode="_ * #,##0_ ;_ * \-#,##0_ ;_ * &quot;-&quot;??_ ;_ @_ "/>
    </dxf>
    <dxf>
      <font>
        <b val="1"/>
      </font>
      <numFmt numFmtId="182" formatCode="[$-409]dd\-mmm\-yy;@"/>
      <alignment horizontal="left"/>
    </dxf>
    <dxf>
      <font>
        <b val="1"/>
      </font>
    </dxf>
    <dxf>
      <font>
        <b val="1"/>
      </font>
    </dxf>
    <dxf>
      <font>
        <b val="1"/>
      </font>
      <numFmt numFmtId="178" formatCode="_ * #,##0_ ;_ * \-#,##0_ ;_ * &quot;-&quot;??_ ;_ @_ "/>
    </dxf>
    <dxf>
      <font>
        <b val="1"/>
      </font>
      <numFmt numFmtId="178" formatCode="_ * #,##0_ ;_ * \-#,##0_ ;_ * &quot;-&quot;??_ ;_ @_ "/>
    </dxf>
    <dxf>
      <font>
        <b val="1"/>
      </font>
      <numFmt numFmtId="0" formatCode="General"/>
      <alignment vertical="center"/>
    </dxf>
    <dxf>
      <numFmt numFmtId="182" formatCode="[$-409]dd\-mmm\-yy;@"/>
      <alignment horizontal="left" vertical="center"/>
    </dxf>
    <dxf>
      <alignment vertical="center"/>
    </dxf>
    <dxf>
      <numFmt numFmtId="0" formatCode="General"/>
      <alignment vertical="center"/>
    </dxf>
    <dxf>
      <numFmt numFmtId="3" formatCode="#,##0"/>
      <alignment vertical="center"/>
    </dxf>
    <dxf>
      <numFmt numFmtId="4" formatCode="#,##0.00"/>
      <alignment vertical="center"/>
    </dxf>
    <dxf>
      <numFmt numFmtId="3" formatCode="#,##0"/>
      <alignment vertical="center"/>
    </dxf>
    <dxf>
      <numFmt numFmtId="4" formatCode="#,##0.00"/>
      <alignment vertical="center"/>
    </dxf>
    <dxf>
      <numFmt numFmtId="182" formatCode="[$-409]dd\-mmm\-yy;@"/>
      <alignment horizontal="left" vertical="center"/>
    </dxf>
    <dxf>
      <alignment vertical="center"/>
    </dxf>
    <dxf>
      <numFmt numFmtId="0" formatCode="General"/>
      <alignment vertical="center"/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alignment vertical="center"/>
    </dxf>
    <dxf>
      <numFmt numFmtId="4" formatCode="#,##0.00"/>
      <alignment vertical="center"/>
    </dxf>
    <dxf>
      <numFmt numFmtId="182" formatCode="[$-409]dd\-mmm\-yy;@"/>
    </dxf>
    <dxf>
      <numFmt numFmtId="0" formatCode="General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6875746694577"/>
          <c:y val="0.232065821365563"/>
          <c:w val="0.561509745395524"/>
          <c:h val="0.65626392592645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delete val="1"/>
          </c:dLbls>
          <c:cat>
            <c:multiLvlStrRef>
              <c:f>Machines!$E$1:$F$3</c:f>
              <c:multiLvlStrCache>
                <c:ptCount val="3"/>
                <c:lvl>
                  <c:pt idx="0">
                    <c:v>42</c:v>
                  </c:pt>
                  <c:pt idx="1">
                    <c:v>3</c:v>
                  </c:pt>
                  <c:pt idx="2">
                    <c:v>8</c:v>
                  </c:pt>
                </c:lvl>
                <c:lvl>
                  <c:pt idx="0">
                    <c:v>Running</c:v>
                  </c:pt>
                  <c:pt idx="1">
                    <c:v>Idle</c:v>
                  </c:pt>
                  <c:pt idx="2">
                    <c:v>Breakdown</c:v>
                  </c:pt>
                </c:lvl>
              </c:multiLvlStrCache>
            </c:multiLvlStrRef>
          </c:cat>
          <c:val>
            <c:numRef>
              <c:f>Machines!$F$1:$F$3</c:f>
              <c:numCache>
                <c:formatCode>General</c:formatCode>
                <c:ptCount val="3"/>
                <c:pt idx="0">
                  <c:v>42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t" anchorCtr="0"/>
          <a:lstStyle/>
          <a:p>
            <a:pPr>
              <a:defRPr lang="en-US"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t" anchorCtr="0"/>
          <a:lstStyle/>
          <a:p>
            <a:pPr>
              <a:defRPr lang="en-US"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0208814700064766"/>
          <c:y val="0.256644864616883"/>
          <c:w val="0.440799438797266"/>
          <c:h val="0.626203418581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lang="en-US" sz="900" b="1" i="0" u="none" strike="noStrike" kern="120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ab862c-6b49-42de-826c-4b68f90b9f2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sng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u="sng">
                <a:solidFill>
                  <a:schemeClr val="accent2">
                    <a:lumMod val="75000"/>
                  </a:schemeClr>
                </a:solidFill>
              </a:rPr>
              <a:t>Category</a:t>
            </a:r>
            <a:r>
              <a:rPr lang="en-US" sz="1100" b="1" u="sng" baseline="0">
                <a:solidFill>
                  <a:schemeClr val="accent2">
                    <a:lumMod val="75000"/>
                  </a:schemeClr>
                </a:solidFill>
              </a:rPr>
              <a:t> </a:t>
            </a:r>
            <a:r>
              <a:rPr lang="en-US" sz="1100" b="1" u="sng">
                <a:solidFill>
                  <a:schemeClr val="accent2">
                    <a:lumMod val="75000"/>
                  </a:schemeClr>
                </a:solidFill>
              </a:rPr>
              <a:t>Finished</a:t>
            </a:r>
            <a:r>
              <a:rPr lang="en-US" sz="1100" b="1" u="sng" baseline="0">
                <a:solidFill>
                  <a:schemeClr val="accent2">
                    <a:lumMod val="75000"/>
                  </a:schemeClr>
                </a:solidFill>
              </a:rPr>
              <a:t> Goods Stock</a:t>
            </a:r>
            <a:endParaRPr lang="en-US" sz="1100" b="1" u="sng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67001291828257"/>
          <c:y val="0.1846837969864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1783231272035"/>
          <c:y val="0.328109072670548"/>
          <c:w val="0.838216768727965"/>
          <c:h val="0.56392802576271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'FG Store'!$J$4:$J$6</c:f>
              <c:strCache>
                <c:ptCount val="3"/>
                <c:pt idx="0">
                  <c:v>Recycled</c:v>
                </c:pt>
                <c:pt idx="1">
                  <c:v>Virgin</c:v>
                </c:pt>
                <c:pt idx="2">
                  <c:v>Corporate</c:v>
                </c:pt>
              </c:strCache>
            </c:strRef>
          </c:cat>
          <c:val>
            <c:numRef>
              <c:f>'FG Store'!$K$4:$K$6</c:f>
              <c:numCache>
                <c:formatCode>_ * #,##0.00_ ;_ * \-#,##0.00_ ;_ * "-"??_ ;_ @_ </c:formatCode>
                <c:ptCount val="3"/>
                <c:pt idx="0">
                  <c:v>250085.88066</c:v>
                </c:pt>
                <c:pt idx="1">
                  <c:v>87973.63192</c:v>
                </c:pt>
                <c:pt idx="2">
                  <c:v>50116.332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59332864"/>
        <c:axId val="1759333280"/>
      </c:barChart>
      <c:catAx>
        <c:axId val="175933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9333280"/>
        <c:crosses val="autoZero"/>
        <c:auto val="1"/>
        <c:lblAlgn val="r"/>
        <c:lblOffset val="100"/>
        <c:noMultiLvlLbl val="0"/>
      </c:catAx>
      <c:valAx>
        <c:axId val="1759333280"/>
        <c:scaling>
          <c:orientation val="minMax"/>
        </c:scaling>
        <c:delete val="1"/>
        <c:axPos val="b"/>
        <c:numFmt formatCode="_ * #,##0.00_ ;_ * \-#,##0.0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933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9f3113-e3f9-4351-b29b-dd57bf50ae4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[Factory_Dashboard_Template.xlsx]Sheet4!PivotTable1</c:name>
    <c:fmtId val="15"/>
  </c:pivotSource>
  <c:chart>
    <c:autoTitleDeleted val="1"/>
    <c:plotArea>
      <c:layout>
        <c:manualLayout>
          <c:layoutTarget val="inner"/>
          <c:xMode val="edge"/>
          <c:yMode val="edge"/>
          <c:x val="0.002777643592097"/>
          <c:y val="0.101273545853226"/>
          <c:w val="0.997222222222222"/>
          <c:h val="0.75492148907380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Target In Kgs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6"/>
                <c:pt idx="0">
                  <c:v>TFM</c:v>
                </c:pt>
                <c:pt idx="1">
                  <c:v>MI</c:v>
                </c:pt>
                <c:pt idx="2">
                  <c:v>LI</c:v>
                </c:pt>
                <c:pt idx="3">
                  <c:v>IBM</c:v>
                </c:pt>
                <c:pt idx="4">
                  <c:v>HT</c:v>
                </c:pt>
                <c:pt idx="5">
                  <c:v>Blow</c:v>
                </c:pt>
              </c:strCache>
            </c:strRef>
          </c:cat>
          <c:val>
            <c:numRef>
              <c:f>Sheet4!$B$4:$B$10</c:f>
              <c:numCache>
                <c:formatCode>_ * #,##0_ ;_ * \-#,##0_ ;_ * "-"??_ ;_ @_ </c:formatCode>
                <c:ptCount val="6"/>
                <c:pt idx="0">
                  <c:v>2313</c:v>
                </c:pt>
                <c:pt idx="1">
                  <c:v>12897</c:v>
                </c:pt>
                <c:pt idx="2">
                  <c:v>21046</c:v>
                </c:pt>
                <c:pt idx="3">
                  <c:v>1257</c:v>
                </c:pt>
                <c:pt idx="4">
                  <c:v>5805</c:v>
                </c:pt>
                <c:pt idx="5">
                  <c:v>1288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Achieved in Kgs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6"/>
                <c:pt idx="0">
                  <c:v>TFM</c:v>
                </c:pt>
                <c:pt idx="1">
                  <c:v>MI</c:v>
                </c:pt>
                <c:pt idx="2">
                  <c:v>LI</c:v>
                </c:pt>
                <c:pt idx="3">
                  <c:v>IBM</c:v>
                </c:pt>
                <c:pt idx="4">
                  <c:v>HT</c:v>
                </c:pt>
                <c:pt idx="5">
                  <c:v>Blow</c:v>
                </c:pt>
              </c:strCache>
            </c:strRef>
          </c:cat>
          <c:val>
            <c:numRef>
              <c:f>Sheet4!$C$4:$C$10</c:f>
              <c:numCache>
                <c:formatCode>_ * #,##0_ ;_ * \-#,##0_ ;_ * "-"??_ ;_ @_ </c:formatCode>
                <c:ptCount val="6"/>
                <c:pt idx="0">
                  <c:v>2239.32</c:v>
                </c:pt>
                <c:pt idx="1">
                  <c:v>6448.1634</c:v>
                </c:pt>
                <c:pt idx="2">
                  <c:v>16655.055</c:v>
                </c:pt>
                <c:pt idx="3">
                  <c:v>1135.236</c:v>
                </c:pt>
                <c:pt idx="4">
                  <c:v>3787.0657</c:v>
                </c:pt>
                <c:pt idx="5">
                  <c:v>275.556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1228944"/>
        <c:axId val="401229776"/>
      </c:barChart>
      <c:catAx>
        <c:axId val="40122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01229776"/>
        <c:crosses val="autoZero"/>
        <c:auto val="1"/>
        <c:lblAlgn val="ctr"/>
        <c:lblOffset val="100"/>
        <c:noMultiLvlLbl val="0"/>
      </c:catAx>
      <c:valAx>
        <c:axId val="4012297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22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98599036645084"/>
          <c:y val="0.00475585837101837"/>
          <c:w val="0.868500394505901"/>
          <c:h val="0.1089128410706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d59e38-237a-4c58-a621-e1a1f70534a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3686016415083"/>
          <c:y val="0.0547682351820259"/>
          <c:w val="0.486161165707044"/>
          <c:h val="0.74268874581138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explosion val="1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explosion val="1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explosion val="1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dLbl>
              <c:idx val="0"/>
              <c:layout>
                <c:manualLayout>
                  <c:x val="-0.0820076063770511"/>
                  <c:y val="0.034659371819624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67145857835372"/>
                  <c:y val="-0.19016269541350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31075173796141"/>
                  <c:y val="0.11729996487514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Sales!$I$4:$I$6</c:f>
              <c:strCache>
                <c:ptCount val="3"/>
                <c:pt idx="0">
                  <c:v>Virgin</c:v>
                </c:pt>
                <c:pt idx="1">
                  <c:v>Recycled</c:v>
                </c:pt>
                <c:pt idx="2">
                  <c:v>Corporate</c:v>
                </c:pt>
              </c:strCache>
            </c:strRef>
          </c:cat>
          <c:val>
            <c:numRef>
              <c:f>Sales!$J$4:$J$6</c:f>
              <c:numCache>
                <c:formatCode>_ * #,##0.00_ ;_ * \-#,##0.00_ ;_ * "-"??_ ;_ @_ </c:formatCode>
                <c:ptCount val="3"/>
                <c:pt idx="0">
                  <c:v>7472.2444</c:v>
                </c:pt>
                <c:pt idx="1">
                  <c:v>6104.126</c:v>
                </c:pt>
                <c:pt idx="2">
                  <c:v>2812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"/>
      </c:pieChart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19973142562033"/>
          <c:y val="0.219476851562456"/>
          <c:w val="0.23203784840427"/>
          <c:h val="0.326261699237951"/>
        </c:manualLayout>
      </c:layout>
      <c:overlay val="0"/>
      <c:spPr>
        <a:solidFill>
          <a:schemeClr val="accent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add1bd-9d1c-4214-b5dd-076393ee4a01}"/>
      </c:ext>
    </c:extLst>
  </c:chart>
  <c:spPr>
    <a:noFill/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4.svg"/><Relationship Id="rId7" Type="http://schemas.openxmlformats.org/officeDocument/2006/relationships/image" Target="../media/image3.png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2" Type="http://schemas.openxmlformats.org/officeDocument/2006/relationships/image" Target="../media/image18.svg"/><Relationship Id="rId21" Type="http://schemas.openxmlformats.org/officeDocument/2006/relationships/image" Target="../media/image17.png"/><Relationship Id="rId20" Type="http://schemas.openxmlformats.org/officeDocument/2006/relationships/image" Target="../media/image16.svg"/><Relationship Id="rId2" Type="http://schemas.openxmlformats.org/officeDocument/2006/relationships/chart" Target="../charts/chart2.xml"/><Relationship Id="rId19" Type="http://schemas.openxmlformats.org/officeDocument/2006/relationships/image" Target="../media/image15.png"/><Relationship Id="rId18" Type="http://schemas.openxmlformats.org/officeDocument/2006/relationships/image" Target="../media/image14.svg"/><Relationship Id="rId17" Type="http://schemas.openxmlformats.org/officeDocument/2006/relationships/image" Target="../media/image13.png"/><Relationship Id="rId16" Type="http://schemas.openxmlformats.org/officeDocument/2006/relationships/image" Target="../media/image12.svg"/><Relationship Id="rId15" Type="http://schemas.openxmlformats.org/officeDocument/2006/relationships/image" Target="../media/image11.png"/><Relationship Id="rId14" Type="http://schemas.openxmlformats.org/officeDocument/2006/relationships/image" Target="../media/image10.svg"/><Relationship Id="rId13" Type="http://schemas.openxmlformats.org/officeDocument/2006/relationships/image" Target="../media/image9.png"/><Relationship Id="rId12" Type="http://schemas.openxmlformats.org/officeDocument/2006/relationships/image" Target="../media/image8.svg"/><Relationship Id="rId11" Type="http://schemas.openxmlformats.org/officeDocument/2006/relationships/image" Target="../media/image7.png"/><Relationship Id="rId10" Type="http://schemas.openxmlformats.org/officeDocument/2006/relationships/image" Target="../media/image6.sv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11967</xdr:colOff>
      <xdr:row>0</xdr:row>
      <xdr:rowOff>1</xdr:rowOff>
    </xdr:from>
    <xdr:to>
      <xdr:col>17</xdr:col>
      <xdr:colOff>398495</xdr:colOff>
      <xdr:row>40</xdr:row>
      <xdr:rowOff>76200</xdr:rowOff>
    </xdr:to>
    <xdr:sp>
      <xdr:nvSpPr>
        <xdr:cNvPr id="5" name="Rectangle 4"/>
        <xdr:cNvSpPr/>
      </xdr:nvSpPr>
      <xdr:spPr>
        <a:xfrm>
          <a:off x="11430" y="0"/>
          <a:ext cx="10587990" cy="780097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1</xdr:row>
      <xdr:rowOff>53975</xdr:rowOff>
    </xdr:from>
    <xdr:to>
      <xdr:col>2</xdr:col>
      <xdr:colOff>448310</xdr:colOff>
      <xdr:row>6</xdr:row>
      <xdr:rowOff>47625</xdr:rowOff>
    </xdr:to>
    <xdr:sp>
      <xdr:nvSpPr>
        <xdr:cNvPr id="2" name="Rounded Rectangle 1"/>
        <xdr:cNvSpPr/>
      </xdr:nvSpPr>
      <xdr:spPr>
        <a:xfrm>
          <a:off x="85725" y="349250"/>
          <a:ext cx="1562735" cy="94615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568325</xdr:colOff>
      <xdr:row>1</xdr:row>
      <xdr:rowOff>53975</xdr:rowOff>
    </xdr:from>
    <xdr:to>
      <xdr:col>5</xdr:col>
      <xdr:colOff>331470</xdr:colOff>
      <xdr:row>6</xdr:row>
      <xdr:rowOff>49530</xdr:rowOff>
    </xdr:to>
    <xdr:sp>
      <xdr:nvSpPr>
        <xdr:cNvPr id="3" name="Rounded Rectangle 2"/>
        <xdr:cNvSpPr/>
      </xdr:nvSpPr>
      <xdr:spPr>
        <a:xfrm>
          <a:off x="1768475" y="349250"/>
          <a:ext cx="1563370" cy="94805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454025</xdr:colOff>
      <xdr:row>1</xdr:row>
      <xdr:rowOff>59340</xdr:rowOff>
    </xdr:from>
    <xdr:to>
      <xdr:col>8</xdr:col>
      <xdr:colOff>217170</xdr:colOff>
      <xdr:row>6</xdr:row>
      <xdr:rowOff>54895</xdr:rowOff>
    </xdr:to>
    <xdr:sp>
      <xdr:nvSpPr>
        <xdr:cNvPr id="4" name="Rounded Rectangle 3"/>
        <xdr:cNvSpPr/>
      </xdr:nvSpPr>
      <xdr:spPr>
        <a:xfrm>
          <a:off x="3454400" y="354330"/>
          <a:ext cx="1563370" cy="94805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342900</xdr:colOff>
      <xdr:row>1</xdr:row>
      <xdr:rowOff>66675</xdr:rowOff>
    </xdr:from>
    <xdr:to>
      <xdr:col>11</xdr:col>
      <xdr:colOff>106045</xdr:colOff>
      <xdr:row>6</xdr:row>
      <xdr:rowOff>62230</xdr:rowOff>
    </xdr:to>
    <xdr:sp>
      <xdr:nvSpPr>
        <xdr:cNvPr id="6" name="Rounded Rectangle 5"/>
        <xdr:cNvSpPr/>
      </xdr:nvSpPr>
      <xdr:spPr>
        <a:xfrm>
          <a:off x="5143500" y="361950"/>
          <a:ext cx="1563370" cy="94805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219075</xdr:colOff>
      <xdr:row>1</xdr:row>
      <xdr:rowOff>69850</xdr:rowOff>
    </xdr:from>
    <xdr:to>
      <xdr:col>13</xdr:col>
      <xdr:colOff>582295</xdr:colOff>
      <xdr:row>6</xdr:row>
      <xdr:rowOff>65405</xdr:rowOff>
    </xdr:to>
    <xdr:sp>
      <xdr:nvSpPr>
        <xdr:cNvPr id="7" name="Rounded Rectangle 6"/>
        <xdr:cNvSpPr/>
      </xdr:nvSpPr>
      <xdr:spPr>
        <a:xfrm>
          <a:off x="6819900" y="365125"/>
          <a:ext cx="1563370" cy="94805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86861</xdr:colOff>
      <xdr:row>1</xdr:row>
      <xdr:rowOff>70389</xdr:rowOff>
    </xdr:from>
    <xdr:to>
      <xdr:col>17</xdr:col>
      <xdr:colOff>332476</xdr:colOff>
      <xdr:row>6</xdr:row>
      <xdr:rowOff>65944</xdr:rowOff>
    </xdr:to>
    <xdr:sp>
      <xdr:nvSpPr>
        <xdr:cNvPr id="8" name="Rounded Rectangle 7"/>
        <xdr:cNvSpPr/>
      </xdr:nvSpPr>
      <xdr:spPr>
        <a:xfrm>
          <a:off x="8487410" y="365125"/>
          <a:ext cx="2045970" cy="94805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95884</xdr:colOff>
      <xdr:row>0</xdr:row>
      <xdr:rowOff>0</xdr:rowOff>
    </xdr:from>
    <xdr:to>
      <xdr:col>11</xdr:col>
      <xdr:colOff>447675</xdr:colOff>
      <xdr:row>0</xdr:row>
      <xdr:rowOff>257175</xdr:rowOff>
    </xdr:to>
    <xdr:sp>
      <xdr:nvSpPr>
        <xdr:cNvPr id="9" name="Rounded Rectangle 8"/>
        <xdr:cNvSpPr/>
      </xdr:nvSpPr>
      <xdr:spPr>
        <a:xfrm>
          <a:off x="4295775" y="0"/>
          <a:ext cx="2752725" cy="257175"/>
        </a:xfrm>
        <a:prstGeom prst="roundRect">
          <a:avLst/>
        </a:prstGeom>
        <a:ln>
          <a:noFill/>
        </a:ln>
        <a:effectLst>
          <a:reflection blurRad="6350" stA="52000" endA="300" endPos="35000" dir="5400000" sy="-100000" algn="bl" rotWithShape="0"/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Papilon Plant Overview Dashboard</a:t>
          </a:r>
          <a:endParaRPr lang="en-US" sz="1400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64756</xdr:colOff>
      <xdr:row>8</xdr:row>
      <xdr:rowOff>47062</xdr:rowOff>
    </xdr:from>
    <xdr:to>
      <xdr:col>5</xdr:col>
      <xdr:colOff>387638</xdr:colOff>
      <xdr:row>16</xdr:row>
      <xdr:rowOff>30552</xdr:rowOff>
    </xdr:to>
    <xdr:sp>
      <xdr:nvSpPr>
        <xdr:cNvPr id="15" name="Rounded Rectangle 14"/>
        <xdr:cNvSpPr/>
      </xdr:nvSpPr>
      <xdr:spPr>
        <a:xfrm>
          <a:off x="64135" y="1675765"/>
          <a:ext cx="3323590" cy="1507490"/>
        </a:xfrm>
        <a:prstGeom prst="roundRect">
          <a:avLst>
            <a:gd name="adj" fmla="val 255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56068</xdr:colOff>
      <xdr:row>6</xdr:row>
      <xdr:rowOff>180975</xdr:rowOff>
    </xdr:from>
    <xdr:to>
      <xdr:col>5</xdr:col>
      <xdr:colOff>412276</xdr:colOff>
      <xdr:row>8</xdr:row>
      <xdr:rowOff>92334</xdr:rowOff>
    </xdr:to>
    <xdr:sp>
      <xdr:nvSpPr>
        <xdr:cNvPr id="10" name="Rounded Rectangle 9"/>
        <xdr:cNvSpPr/>
      </xdr:nvSpPr>
      <xdr:spPr>
        <a:xfrm>
          <a:off x="55880" y="1428750"/>
          <a:ext cx="3356610" cy="292100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FACTORY OPERATIONS STATUS</a:t>
          </a:r>
          <a:endParaRPr lang="en-US" sz="1100" b="1"/>
        </a:p>
      </xdr:txBody>
    </xdr:sp>
    <xdr:clientData/>
  </xdr:twoCellAnchor>
  <xdr:twoCellAnchor>
    <xdr:from>
      <xdr:col>5</xdr:col>
      <xdr:colOff>511175</xdr:colOff>
      <xdr:row>8</xdr:row>
      <xdr:rowOff>47625</xdr:rowOff>
    </xdr:from>
    <xdr:to>
      <xdr:col>11</xdr:col>
      <xdr:colOff>139700</xdr:colOff>
      <xdr:row>16</xdr:row>
      <xdr:rowOff>31115</xdr:rowOff>
    </xdr:to>
    <xdr:sp>
      <xdr:nvSpPr>
        <xdr:cNvPr id="18" name="Rounded Rectangle 17"/>
        <xdr:cNvSpPr/>
      </xdr:nvSpPr>
      <xdr:spPr>
        <a:xfrm>
          <a:off x="3511550" y="1676400"/>
          <a:ext cx="3228975" cy="1507490"/>
        </a:xfrm>
        <a:prstGeom prst="roundRect">
          <a:avLst>
            <a:gd name="adj" fmla="val 255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492125</xdr:colOff>
      <xdr:row>6</xdr:row>
      <xdr:rowOff>180975</xdr:rowOff>
    </xdr:from>
    <xdr:to>
      <xdr:col>11</xdr:col>
      <xdr:colOff>149225</xdr:colOff>
      <xdr:row>8</xdr:row>
      <xdr:rowOff>57150</xdr:rowOff>
    </xdr:to>
    <xdr:sp>
      <xdr:nvSpPr>
        <xdr:cNvPr id="11" name="Rounded Rectangle 10"/>
        <xdr:cNvSpPr/>
      </xdr:nvSpPr>
      <xdr:spPr>
        <a:xfrm>
          <a:off x="3492500" y="1428750"/>
          <a:ext cx="3257550" cy="25717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DAILY PRODUCTION SUMMARY</a:t>
          </a:r>
          <a:endParaRPr lang="en-US" sz="1100" b="1"/>
        </a:p>
      </xdr:txBody>
    </xdr:sp>
    <xdr:clientData/>
  </xdr:twoCellAnchor>
  <xdr:twoCellAnchor>
    <xdr:from>
      <xdr:col>11</xdr:col>
      <xdr:colOff>250825</xdr:colOff>
      <xdr:row>8</xdr:row>
      <xdr:rowOff>34925</xdr:rowOff>
    </xdr:from>
    <xdr:to>
      <xdr:col>17</xdr:col>
      <xdr:colOff>340178</xdr:colOff>
      <xdr:row>16</xdr:row>
      <xdr:rowOff>18415</xdr:rowOff>
    </xdr:to>
    <xdr:sp>
      <xdr:nvSpPr>
        <xdr:cNvPr id="21" name="Rounded Rectangle 20"/>
        <xdr:cNvSpPr/>
      </xdr:nvSpPr>
      <xdr:spPr>
        <a:xfrm>
          <a:off x="6851650" y="1663700"/>
          <a:ext cx="3689350" cy="1507490"/>
        </a:xfrm>
        <a:prstGeom prst="roundRect">
          <a:avLst>
            <a:gd name="adj" fmla="val 255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17</xdr:row>
      <xdr:rowOff>164411</xdr:rowOff>
    </xdr:from>
    <xdr:to>
      <xdr:col>5</xdr:col>
      <xdr:colOff>353174</xdr:colOff>
      <xdr:row>30</xdr:row>
      <xdr:rowOff>26756</xdr:rowOff>
    </xdr:to>
    <xdr:sp>
      <xdr:nvSpPr>
        <xdr:cNvPr id="22" name="Rounded Rectangle 21"/>
        <xdr:cNvSpPr/>
      </xdr:nvSpPr>
      <xdr:spPr>
        <a:xfrm>
          <a:off x="104775" y="3507105"/>
          <a:ext cx="3248660" cy="2339340"/>
        </a:xfrm>
        <a:prstGeom prst="roundRect">
          <a:avLst>
            <a:gd name="adj" fmla="val 2550"/>
          </a:avLst>
        </a:prstGeom>
        <a:solidFill>
          <a:schemeClr val="bg1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16</xdr:row>
      <xdr:rowOff>136525</xdr:rowOff>
    </xdr:from>
    <xdr:to>
      <xdr:col>5</xdr:col>
      <xdr:colOff>353174</xdr:colOff>
      <xdr:row>18</xdr:row>
      <xdr:rowOff>12700</xdr:rowOff>
    </xdr:to>
    <xdr:sp>
      <xdr:nvSpPr>
        <xdr:cNvPr id="23" name="Rounded Rectangle 22"/>
        <xdr:cNvSpPr/>
      </xdr:nvSpPr>
      <xdr:spPr>
        <a:xfrm>
          <a:off x="85725" y="3289300"/>
          <a:ext cx="3267710" cy="257175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/>
            <a:t>MOLD AND</a:t>
          </a:r>
          <a:r>
            <a:rPr lang="en-US" sz="900" b="1" baseline="0"/>
            <a:t> MACHINE</a:t>
          </a:r>
          <a:r>
            <a:rPr lang="en-US" sz="900" b="1"/>
            <a:t> MAINTENANCE / BREAKDOWN REPORT</a:t>
          </a:r>
          <a:endParaRPr lang="en-US" sz="900" b="1"/>
        </a:p>
      </xdr:txBody>
    </xdr:sp>
    <xdr:clientData/>
  </xdr:twoCellAnchor>
  <xdr:twoCellAnchor>
    <xdr:from>
      <xdr:col>5</xdr:col>
      <xdr:colOff>483870</xdr:colOff>
      <xdr:row>17</xdr:row>
      <xdr:rowOff>151903</xdr:rowOff>
    </xdr:from>
    <xdr:to>
      <xdr:col>11</xdr:col>
      <xdr:colOff>161745</xdr:colOff>
      <xdr:row>30</xdr:row>
      <xdr:rowOff>24323</xdr:rowOff>
    </xdr:to>
    <xdr:sp>
      <xdr:nvSpPr>
        <xdr:cNvPr id="24" name="Rounded Rectangle 23"/>
        <xdr:cNvSpPr/>
      </xdr:nvSpPr>
      <xdr:spPr>
        <a:xfrm>
          <a:off x="3484245" y="3495040"/>
          <a:ext cx="3277870" cy="2348865"/>
        </a:xfrm>
        <a:prstGeom prst="roundRect">
          <a:avLst>
            <a:gd name="adj" fmla="val 2550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231534</xdr:colOff>
      <xdr:row>6</xdr:row>
      <xdr:rowOff>181454</xdr:rowOff>
    </xdr:from>
    <xdr:to>
      <xdr:col>17</xdr:col>
      <xdr:colOff>386390</xdr:colOff>
      <xdr:row>8</xdr:row>
      <xdr:rowOff>57630</xdr:rowOff>
    </xdr:to>
    <xdr:sp>
      <xdr:nvSpPr>
        <xdr:cNvPr id="25" name="Rounded Rectangle 24"/>
        <xdr:cNvSpPr/>
      </xdr:nvSpPr>
      <xdr:spPr>
        <a:xfrm>
          <a:off x="6831965" y="1428750"/>
          <a:ext cx="3755390" cy="2571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FINISHED</a:t>
          </a:r>
          <a:r>
            <a:rPr lang="en-US" sz="1100" b="1" baseline="0"/>
            <a:t> PRODUCTS </a:t>
          </a:r>
          <a:r>
            <a:rPr lang="en-US" sz="1100" b="1"/>
            <a:t>STOCK REPORT</a:t>
          </a:r>
          <a:endParaRPr lang="en-US" sz="1100" b="1"/>
        </a:p>
      </xdr:txBody>
    </xdr:sp>
    <xdr:clientData/>
  </xdr:twoCellAnchor>
  <xdr:twoCellAnchor>
    <xdr:from>
      <xdr:col>11</xdr:col>
      <xdr:colOff>250825</xdr:colOff>
      <xdr:row>18</xdr:row>
      <xdr:rowOff>10883</xdr:rowOff>
    </xdr:from>
    <xdr:to>
      <xdr:col>17</xdr:col>
      <xdr:colOff>340178</xdr:colOff>
      <xdr:row>22</xdr:row>
      <xdr:rowOff>44929</xdr:rowOff>
    </xdr:to>
    <xdr:sp>
      <xdr:nvSpPr>
        <xdr:cNvPr id="26" name="Rounded Rectangle 25"/>
        <xdr:cNvSpPr/>
      </xdr:nvSpPr>
      <xdr:spPr>
        <a:xfrm>
          <a:off x="6851650" y="3544570"/>
          <a:ext cx="3689350" cy="795655"/>
        </a:xfrm>
        <a:prstGeom prst="roundRect">
          <a:avLst>
            <a:gd name="adj" fmla="val 255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234950</xdr:colOff>
      <xdr:row>16</xdr:row>
      <xdr:rowOff>139161</xdr:rowOff>
    </xdr:from>
    <xdr:to>
      <xdr:col>17</xdr:col>
      <xdr:colOff>359617</xdr:colOff>
      <xdr:row>18</xdr:row>
      <xdr:rowOff>15336</xdr:rowOff>
    </xdr:to>
    <xdr:sp>
      <xdr:nvSpPr>
        <xdr:cNvPr id="27" name="Rounded Rectangle 26"/>
        <xdr:cNvSpPr/>
      </xdr:nvSpPr>
      <xdr:spPr>
        <a:xfrm>
          <a:off x="6835775" y="3291840"/>
          <a:ext cx="3724910" cy="25717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RAW MATERIAL STOCK REPORT</a:t>
          </a:r>
          <a:endParaRPr lang="en-US" sz="1100" b="1"/>
        </a:p>
      </xdr:txBody>
    </xdr:sp>
    <xdr:clientData/>
  </xdr:twoCellAnchor>
  <xdr:twoCellAnchor editAs="oneCell">
    <xdr:from>
      <xdr:col>0</xdr:col>
      <xdr:colOff>200659</xdr:colOff>
      <xdr:row>2</xdr:row>
      <xdr:rowOff>178057</xdr:rowOff>
    </xdr:from>
    <xdr:to>
      <xdr:col>1</xdr:col>
      <xdr:colOff>68956</xdr:colOff>
      <xdr:row>5</xdr:row>
      <xdr:rowOff>89808</xdr:rowOff>
    </xdr:to>
    <xdr:pic>
      <xdr:nvPicPr>
        <xdr:cNvPr id="12" name="Picture 11" descr="3642388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0025" y="663575"/>
          <a:ext cx="468630" cy="483235"/>
        </a:xfrm>
        <a:prstGeom prst="rect">
          <a:avLst/>
        </a:prstGeom>
      </xdr:spPr>
    </xdr:pic>
    <xdr:clientData/>
  </xdr:twoCellAnchor>
  <xdr:twoCellAnchor editAs="oneCell">
    <xdr:from>
      <xdr:col>3</xdr:col>
      <xdr:colOff>35770</xdr:colOff>
      <xdr:row>2</xdr:row>
      <xdr:rowOff>161144</xdr:rowOff>
    </xdr:from>
    <xdr:to>
      <xdr:col>3</xdr:col>
      <xdr:colOff>507370</xdr:colOff>
      <xdr:row>5</xdr:row>
      <xdr:rowOff>74513</xdr:rowOff>
    </xdr:to>
    <xdr:pic>
      <xdr:nvPicPr>
        <xdr:cNvPr id="13" name="Picture 12" descr="3658617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35785" y="646430"/>
          <a:ext cx="471805" cy="485140"/>
        </a:xfrm>
        <a:prstGeom prst="rect">
          <a:avLst/>
        </a:prstGeom>
      </xdr:spPr>
    </xdr:pic>
    <xdr:clientData/>
  </xdr:twoCellAnchor>
  <xdr:twoCellAnchor editAs="oneCell">
    <xdr:from>
      <xdr:col>11</xdr:col>
      <xdr:colOff>224646</xdr:colOff>
      <xdr:row>2</xdr:row>
      <xdr:rowOff>115753</xdr:rowOff>
    </xdr:from>
    <xdr:to>
      <xdr:col>12</xdr:col>
      <xdr:colOff>220992</xdr:colOff>
      <xdr:row>5</xdr:row>
      <xdr:rowOff>161254</xdr:rowOff>
    </xdr:to>
    <xdr:pic>
      <xdr:nvPicPr>
        <xdr:cNvPr id="16" name="Picture 15" descr="2009064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24980" y="601345"/>
          <a:ext cx="596900" cy="616585"/>
        </a:xfrm>
        <a:prstGeom prst="rect">
          <a:avLst/>
        </a:prstGeom>
      </xdr:spPr>
    </xdr:pic>
    <xdr:clientData/>
  </xdr:twoCellAnchor>
  <xdr:twoCellAnchor>
    <xdr:from>
      <xdr:col>0</xdr:col>
      <xdr:colOff>35761</xdr:colOff>
      <xdr:row>1</xdr:row>
      <xdr:rowOff>58001</xdr:rowOff>
    </xdr:from>
    <xdr:to>
      <xdr:col>2</xdr:col>
      <xdr:colOff>331305</xdr:colOff>
      <xdr:row>2</xdr:row>
      <xdr:rowOff>74542</xdr:rowOff>
    </xdr:to>
    <xdr:sp textlink="Calculations!A4">
      <xdr:nvSpPr>
        <xdr:cNvPr id="20" name="Text Box 19"/>
        <xdr:cNvSpPr txBox="1"/>
      </xdr:nvSpPr>
      <xdr:spPr>
        <a:xfrm>
          <a:off x="35560" y="353060"/>
          <a:ext cx="1495425" cy="20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E8ED9DE-9780-4337-9FB7-5A86B87FBF19}" type="TxLink">
            <a:rPr lang="en-US" sz="1050" b="1" i="0" u="none" strike="noStrike">
              <a:solidFill>
                <a:srgbClr val="00B0F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Production (Kgs)</a:t>
          </a:fld>
          <a:endParaRPr lang="en-US" sz="1050" b="1">
            <a:solidFill>
              <a:srgbClr val="00B0F0"/>
            </a:solidFill>
          </a:endParaRPr>
        </a:p>
      </xdr:txBody>
    </xdr:sp>
    <xdr:clientData/>
  </xdr:twoCellAnchor>
  <xdr:twoCellAnchor>
    <xdr:from>
      <xdr:col>1</xdr:col>
      <xdr:colOff>48672</xdr:colOff>
      <xdr:row>2</xdr:row>
      <xdr:rowOff>105954</xdr:rowOff>
    </xdr:from>
    <xdr:to>
      <xdr:col>2</xdr:col>
      <xdr:colOff>511706</xdr:colOff>
      <xdr:row>4</xdr:row>
      <xdr:rowOff>28198</xdr:rowOff>
    </xdr:to>
    <xdr:sp textlink="Calculations!B5">
      <xdr:nvSpPr>
        <xdr:cNvPr id="19" name="TextBox 18"/>
        <xdr:cNvSpPr txBox="1"/>
      </xdr:nvSpPr>
      <xdr:spPr>
        <a:xfrm>
          <a:off x="648335" y="591185"/>
          <a:ext cx="1062990" cy="303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F058C11E-3B07-487A-9FF3-44BBD66D98A0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30,540 </a:t>
          </a:fld>
          <a:endParaRPr lang="en-US" sz="1600" b="1"/>
        </a:p>
      </xdr:txBody>
    </xdr:sp>
    <xdr:clientData/>
  </xdr:twoCellAnchor>
  <xdr:twoCellAnchor>
    <xdr:from>
      <xdr:col>1</xdr:col>
      <xdr:colOff>425708</xdr:colOff>
      <xdr:row>4</xdr:row>
      <xdr:rowOff>27895</xdr:rowOff>
    </xdr:from>
    <xdr:to>
      <xdr:col>2</xdr:col>
      <xdr:colOff>534565</xdr:colOff>
      <xdr:row>4</xdr:row>
      <xdr:rowOff>171740</xdr:rowOff>
    </xdr:to>
    <xdr:sp textlink="Calculations!B6">
      <xdr:nvSpPr>
        <xdr:cNvPr id="29" name="TextBox 28"/>
        <xdr:cNvSpPr txBox="1"/>
      </xdr:nvSpPr>
      <xdr:spPr>
        <a:xfrm>
          <a:off x="1025525" y="894080"/>
          <a:ext cx="708660" cy="144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161ADDD-7835-4A95-BECF-340C7DE19B34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42,000 </a:t>
          </a:fld>
          <a:endParaRPr lang="en-US" sz="400" b="1"/>
        </a:p>
      </xdr:txBody>
    </xdr:sp>
    <xdr:clientData/>
  </xdr:twoCellAnchor>
  <xdr:twoCellAnchor>
    <xdr:from>
      <xdr:col>1</xdr:col>
      <xdr:colOff>456111</xdr:colOff>
      <xdr:row>4</xdr:row>
      <xdr:rowOff>173678</xdr:rowOff>
    </xdr:from>
    <xdr:to>
      <xdr:col>2</xdr:col>
      <xdr:colOff>400050</xdr:colOff>
      <xdr:row>6</xdr:row>
      <xdr:rowOff>0</xdr:rowOff>
    </xdr:to>
    <xdr:sp textlink="Calculations!B7">
      <xdr:nvSpPr>
        <xdr:cNvPr id="30" name="TextBox 29"/>
        <xdr:cNvSpPr txBox="1"/>
      </xdr:nvSpPr>
      <xdr:spPr>
        <a:xfrm>
          <a:off x="1056005" y="1040130"/>
          <a:ext cx="544195" cy="207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5A5CAD2-F40C-48A3-8339-D3E65A6E8033}" type="TxLink">
            <a:rPr lang="en-US" sz="900" b="1" i="0" u="none" strike="noStrike" cap="none" spc="0">
              <a:ln w="22225">
                <a:noFill/>
                <a:prstDash val="solid"/>
              </a:ln>
              <a:solidFill>
                <a:srgbClr val="FF000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t>27%</a:t>
          </a:fld>
          <a:endParaRPr lang="en-US" sz="900" b="1" cap="none" spc="0">
            <a:ln w="22225">
              <a:noFill/>
              <a:prstDash val="solid"/>
            </a:ln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128767</xdr:colOff>
      <xdr:row>4</xdr:row>
      <xdr:rowOff>23830</xdr:rowOff>
    </xdr:from>
    <xdr:to>
      <xdr:col>2</xdr:col>
      <xdr:colOff>16023</xdr:colOff>
      <xdr:row>4</xdr:row>
      <xdr:rowOff>159901</xdr:rowOff>
    </xdr:to>
    <xdr:sp>
      <xdr:nvSpPr>
        <xdr:cNvPr id="31" name="TextBox 30"/>
        <xdr:cNvSpPr txBox="1"/>
      </xdr:nvSpPr>
      <xdr:spPr>
        <a:xfrm>
          <a:off x="728345" y="890270"/>
          <a:ext cx="487680" cy="135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Target:</a:t>
          </a:r>
          <a:endParaRPr lang="en-US" sz="8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</xdr:col>
      <xdr:colOff>414130</xdr:colOff>
      <xdr:row>5</xdr:row>
      <xdr:rowOff>42658</xdr:rowOff>
    </xdr:from>
    <xdr:to>
      <xdr:col>1</xdr:col>
      <xdr:colOff>513521</xdr:colOff>
      <xdr:row>5</xdr:row>
      <xdr:rowOff>125484</xdr:rowOff>
    </xdr:to>
    <xdr:sp>
      <xdr:nvSpPr>
        <xdr:cNvPr id="32" name="Isosceles Triangle 31"/>
        <xdr:cNvSpPr/>
      </xdr:nvSpPr>
      <xdr:spPr>
        <a:xfrm rot="10800000">
          <a:off x="1014095" y="1099820"/>
          <a:ext cx="99060" cy="8255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595931</xdr:colOff>
      <xdr:row>1</xdr:row>
      <xdr:rowOff>67083</xdr:rowOff>
    </xdr:from>
    <xdr:to>
      <xdr:col>5</xdr:col>
      <xdr:colOff>293002</xdr:colOff>
      <xdr:row>2</xdr:row>
      <xdr:rowOff>83624</xdr:rowOff>
    </xdr:to>
    <xdr:sp textlink="Calculations!A8">
      <xdr:nvSpPr>
        <xdr:cNvPr id="33" name="Text Box 19"/>
        <xdr:cNvSpPr txBox="1"/>
      </xdr:nvSpPr>
      <xdr:spPr>
        <a:xfrm>
          <a:off x="1795780" y="361950"/>
          <a:ext cx="1497330" cy="20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1260AAB5-C97B-4E95-B73C-8F0D3473C9C0}" type="TxLink">
            <a:rPr lang="en-US" sz="1100" b="1" i="0" u="none" strike="noStrike">
              <a:solidFill>
                <a:srgbClr val="00B0F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Sales Kgs</a:t>
          </a:fld>
          <a:endParaRPr lang="en-US" sz="1050" b="1">
            <a:solidFill>
              <a:srgbClr val="00B0F0"/>
            </a:solidFill>
          </a:endParaRPr>
        </a:p>
      </xdr:txBody>
    </xdr:sp>
    <xdr:clientData/>
  </xdr:twoCellAnchor>
  <xdr:twoCellAnchor>
    <xdr:from>
      <xdr:col>3</xdr:col>
      <xdr:colOff>548083</xdr:colOff>
      <xdr:row>2</xdr:row>
      <xdr:rowOff>84042</xdr:rowOff>
    </xdr:from>
    <xdr:to>
      <xdr:col>5</xdr:col>
      <xdr:colOff>496093</xdr:colOff>
      <xdr:row>4</xdr:row>
      <xdr:rowOff>7240</xdr:rowOff>
    </xdr:to>
    <xdr:sp textlink="Calculations!B9">
      <xdr:nvSpPr>
        <xdr:cNvPr id="34" name="TextBox 33"/>
        <xdr:cNvSpPr txBox="1"/>
      </xdr:nvSpPr>
      <xdr:spPr>
        <a:xfrm>
          <a:off x="2348230" y="569595"/>
          <a:ext cx="1148080" cy="304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754FF0AF-BBF6-4CDF-B7DB-56348C625457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16,388 </a:t>
          </a:fld>
          <a:endParaRPr lang="en-US" sz="2400" b="1"/>
        </a:p>
      </xdr:txBody>
    </xdr:sp>
    <xdr:clientData/>
  </xdr:twoCellAnchor>
  <xdr:twoCellAnchor>
    <xdr:from>
      <xdr:col>3</xdr:col>
      <xdr:colOff>587828</xdr:colOff>
      <xdr:row>4</xdr:row>
      <xdr:rowOff>8745</xdr:rowOff>
    </xdr:from>
    <xdr:to>
      <xdr:col>4</xdr:col>
      <xdr:colOff>527627</xdr:colOff>
      <xdr:row>4</xdr:row>
      <xdr:rowOff>144816</xdr:rowOff>
    </xdr:to>
    <xdr:sp>
      <xdr:nvSpPr>
        <xdr:cNvPr id="35" name="TextBox 34"/>
        <xdr:cNvSpPr txBox="1"/>
      </xdr:nvSpPr>
      <xdr:spPr>
        <a:xfrm>
          <a:off x="2387600" y="875030"/>
          <a:ext cx="539750" cy="136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Target:</a:t>
          </a:r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4</xdr:col>
      <xdr:colOff>313312</xdr:colOff>
      <xdr:row>4</xdr:row>
      <xdr:rowOff>3289</xdr:rowOff>
    </xdr:from>
    <xdr:to>
      <xdr:col>5</xdr:col>
      <xdr:colOff>397330</xdr:colOff>
      <xdr:row>4</xdr:row>
      <xdr:rowOff>163026</xdr:rowOff>
    </xdr:to>
    <xdr:sp textlink="Calculations!B10">
      <xdr:nvSpPr>
        <xdr:cNvPr id="36" name="TextBox 35"/>
        <xdr:cNvSpPr txBox="1"/>
      </xdr:nvSpPr>
      <xdr:spPr>
        <a:xfrm>
          <a:off x="2713355" y="869950"/>
          <a:ext cx="683895" cy="159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F2AAF5D-227E-407E-815A-D9EDCF11FAF3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30,000 </a:t>
          </a:fld>
          <a:endParaRPr lang="en-US" sz="200" b="1"/>
        </a:p>
      </xdr:txBody>
    </xdr:sp>
    <xdr:clientData/>
  </xdr:twoCellAnchor>
  <xdr:twoCellAnchor>
    <xdr:from>
      <xdr:col>4</xdr:col>
      <xdr:colOff>357234</xdr:colOff>
      <xdr:row>5</xdr:row>
      <xdr:rowOff>25071</xdr:rowOff>
    </xdr:from>
    <xdr:to>
      <xdr:col>4</xdr:col>
      <xdr:colOff>456625</xdr:colOff>
      <xdr:row>5</xdr:row>
      <xdr:rowOff>108740</xdr:rowOff>
    </xdr:to>
    <xdr:sp>
      <xdr:nvSpPr>
        <xdr:cNvPr id="37" name="Isosceles Triangle 36"/>
        <xdr:cNvSpPr/>
      </xdr:nvSpPr>
      <xdr:spPr>
        <a:xfrm rot="10800000">
          <a:off x="2757170" y="1082040"/>
          <a:ext cx="99695" cy="8382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407156</xdr:colOff>
      <xdr:row>4</xdr:row>
      <xdr:rowOff>159948</xdr:rowOff>
    </xdr:from>
    <xdr:to>
      <xdr:col>5</xdr:col>
      <xdr:colOff>390524</xdr:colOff>
      <xdr:row>5</xdr:row>
      <xdr:rowOff>171449</xdr:rowOff>
    </xdr:to>
    <xdr:sp textlink="Calculations!B11">
      <xdr:nvSpPr>
        <xdr:cNvPr id="38" name="TextBox 37"/>
        <xdr:cNvSpPr txBox="1"/>
      </xdr:nvSpPr>
      <xdr:spPr>
        <a:xfrm>
          <a:off x="2807335" y="1026160"/>
          <a:ext cx="582930" cy="201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F31917B0-EFCC-402B-8787-6230E5FC347D}" type="TxLink">
            <a:rPr lang="en-US" sz="900" b="1" i="0" u="none" strike="noStrike" cap="none" spc="0">
              <a:ln w="22225">
                <a:noFill/>
                <a:prstDash val="solid"/>
              </a:ln>
              <a:solidFill>
                <a:srgbClr val="FF000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t>45%</a:t>
          </a:fld>
          <a:endParaRPr lang="en-US" sz="500" b="1" cap="none" spc="0">
            <a:ln w="22225">
              <a:noFill/>
              <a:prstDash val="solid"/>
            </a:ln>
            <a:solidFill>
              <a:srgbClr val="FF0000"/>
            </a:solidFill>
            <a:effectLst/>
          </a:endParaRPr>
        </a:p>
      </xdr:txBody>
    </xdr:sp>
    <xdr:clientData/>
  </xdr:twoCellAnchor>
  <xdr:twoCellAnchor editAs="oneCell">
    <xdr:from>
      <xdr:col>8</xdr:col>
      <xdr:colOff>311424</xdr:colOff>
      <xdr:row>2</xdr:row>
      <xdr:rowOff>38100</xdr:rowOff>
    </xdr:from>
    <xdr:to>
      <xdr:col>9</xdr:col>
      <xdr:colOff>408993</xdr:colOff>
      <xdr:row>5</xdr:row>
      <xdr:rowOff>166547</xdr:rowOff>
    </xdr:to>
    <xdr:pic>
      <xdr:nvPicPr>
        <xdr:cNvPr id="42" name="Graphic 41" descr="Downward trend graph with solid fill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111750" y="523875"/>
          <a:ext cx="697865" cy="699770"/>
        </a:xfrm>
        <a:prstGeom prst="rect">
          <a:avLst/>
        </a:prstGeom>
      </xdr:spPr>
    </xdr:pic>
    <xdr:clientData/>
  </xdr:twoCellAnchor>
  <xdr:twoCellAnchor>
    <xdr:from>
      <xdr:col>5</xdr:col>
      <xdr:colOff>445536</xdr:colOff>
      <xdr:row>1</xdr:row>
      <xdr:rowOff>67083</xdr:rowOff>
    </xdr:from>
    <xdr:to>
      <xdr:col>8</xdr:col>
      <xdr:colOff>142607</xdr:colOff>
      <xdr:row>2</xdr:row>
      <xdr:rowOff>83624</xdr:rowOff>
    </xdr:to>
    <xdr:sp textlink="Calculations!A12">
      <xdr:nvSpPr>
        <xdr:cNvPr id="28" name="Text Box 19"/>
        <xdr:cNvSpPr txBox="1"/>
      </xdr:nvSpPr>
      <xdr:spPr>
        <a:xfrm>
          <a:off x="3445510" y="361950"/>
          <a:ext cx="1497330" cy="20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1D334944-0CD3-4F6E-A363-9130B6061BFE}" type="TxLink">
            <a:rPr lang="en-US" sz="1100" b="1" i="0" u="none" strike="noStrike">
              <a:solidFill>
                <a:srgbClr val="00206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Production Efficiency</a:t>
          </a:fld>
          <a:endParaRPr lang="en-US" sz="1050" b="1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489429</xdr:colOff>
      <xdr:row>2</xdr:row>
      <xdr:rowOff>63450</xdr:rowOff>
    </xdr:from>
    <xdr:to>
      <xdr:col>7</xdr:col>
      <xdr:colOff>485236</xdr:colOff>
      <xdr:row>4</xdr:row>
      <xdr:rowOff>48552</xdr:rowOff>
    </xdr:to>
    <xdr:sp textlink="Calculations!B12">
      <xdr:nvSpPr>
        <xdr:cNvPr id="39" name="TextBox 38"/>
        <xdr:cNvSpPr txBox="1"/>
      </xdr:nvSpPr>
      <xdr:spPr>
        <a:xfrm>
          <a:off x="4089400" y="548640"/>
          <a:ext cx="596265" cy="366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F3E5D3D-7C1F-4F83-A80E-D91B22D18EE6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73%</a:t>
          </a:fld>
          <a:endParaRPr lang="en-US" sz="4000" b="1"/>
        </a:p>
      </xdr:txBody>
    </xdr:sp>
    <xdr:clientData/>
  </xdr:twoCellAnchor>
  <xdr:twoCellAnchor>
    <xdr:from>
      <xdr:col>6</xdr:col>
      <xdr:colOff>534687</xdr:colOff>
      <xdr:row>4</xdr:row>
      <xdr:rowOff>20775</xdr:rowOff>
    </xdr:from>
    <xdr:to>
      <xdr:col>7</xdr:col>
      <xdr:colOff>588544</xdr:colOff>
      <xdr:row>4</xdr:row>
      <xdr:rowOff>162427</xdr:rowOff>
    </xdr:to>
    <xdr:sp>
      <xdr:nvSpPr>
        <xdr:cNvPr id="41" name="TextBox 40"/>
        <xdr:cNvSpPr txBox="1"/>
      </xdr:nvSpPr>
      <xdr:spPr>
        <a:xfrm>
          <a:off x="4135120" y="887095"/>
          <a:ext cx="653415" cy="141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</a:t>
          </a:r>
          <a:r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:</a:t>
          </a:r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7</xdr:col>
      <xdr:colOff>321333</xdr:colOff>
      <xdr:row>3</xdr:row>
      <xdr:rowOff>194194</xdr:rowOff>
    </xdr:from>
    <xdr:to>
      <xdr:col>8</xdr:col>
      <xdr:colOff>142876</xdr:colOff>
      <xdr:row>4</xdr:row>
      <xdr:rowOff>171256</xdr:rowOff>
    </xdr:to>
    <xdr:sp textlink="Calculations!B13">
      <xdr:nvSpPr>
        <xdr:cNvPr id="43" name="TextBox 42"/>
        <xdr:cNvSpPr txBox="1"/>
      </xdr:nvSpPr>
      <xdr:spPr>
        <a:xfrm>
          <a:off x="4521835" y="866775"/>
          <a:ext cx="421640" cy="1708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AE9FB90-221F-4AF5-A9E2-7C5B42AF9A60}" type="TxLink">
            <a:rPr lang="en-US" sz="105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100%</a:t>
          </a:fld>
          <a:endParaRPr lang="en-US" sz="100" b="1"/>
        </a:p>
      </xdr:txBody>
    </xdr:sp>
    <xdr:clientData/>
  </xdr:twoCellAnchor>
  <xdr:twoCellAnchor>
    <xdr:from>
      <xdr:col>7</xdr:col>
      <xdr:colOff>256970</xdr:colOff>
      <xdr:row>5</xdr:row>
      <xdr:rowOff>21059</xdr:rowOff>
    </xdr:from>
    <xdr:to>
      <xdr:col>7</xdr:col>
      <xdr:colOff>356361</xdr:colOff>
      <xdr:row>5</xdr:row>
      <xdr:rowOff>104728</xdr:rowOff>
    </xdr:to>
    <xdr:sp>
      <xdr:nvSpPr>
        <xdr:cNvPr id="44" name="Isosceles Triangle 43"/>
        <xdr:cNvSpPr/>
      </xdr:nvSpPr>
      <xdr:spPr>
        <a:xfrm rot="10800000">
          <a:off x="4457065" y="1078230"/>
          <a:ext cx="99695" cy="83185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285749</xdr:colOff>
      <xdr:row>4</xdr:row>
      <xdr:rowOff>117836</xdr:rowOff>
    </xdr:from>
    <xdr:to>
      <xdr:col>8</xdr:col>
      <xdr:colOff>228599</xdr:colOff>
      <xdr:row>6</xdr:row>
      <xdr:rowOff>0</xdr:rowOff>
    </xdr:to>
    <xdr:sp textlink="Calculations!B14">
      <xdr:nvSpPr>
        <xdr:cNvPr id="45" name="TextBox 44"/>
        <xdr:cNvSpPr txBox="1"/>
      </xdr:nvSpPr>
      <xdr:spPr>
        <a:xfrm>
          <a:off x="4485640" y="984250"/>
          <a:ext cx="542925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89BA01AA-E229-48F0-985E-0E82A991E32E}" type="TxLink">
            <a:rPr lang="en-US" sz="900" b="1" i="0" u="none" strike="noStrike" cap="none" spc="0">
              <a:ln w="22225">
                <a:noFill/>
                <a:prstDash val="solid"/>
              </a:ln>
              <a:solidFill>
                <a:srgbClr val="FF000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t>27%</a:t>
          </a:fld>
          <a:endParaRPr lang="en-US" sz="200" b="1" cap="none" spc="0">
            <a:ln w="22225">
              <a:noFill/>
              <a:prstDash val="solid"/>
            </a:ln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8</xdr:col>
      <xdr:colOff>321711</xdr:colOff>
      <xdr:row>1</xdr:row>
      <xdr:rowOff>66695</xdr:rowOff>
    </xdr:from>
    <xdr:to>
      <xdr:col>11</xdr:col>
      <xdr:colOff>18782</xdr:colOff>
      <xdr:row>2</xdr:row>
      <xdr:rowOff>83236</xdr:rowOff>
    </xdr:to>
    <xdr:sp textlink="Calculations!A15">
      <xdr:nvSpPr>
        <xdr:cNvPr id="46" name="Text Box 19"/>
        <xdr:cNvSpPr txBox="1"/>
      </xdr:nvSpPr>
      <xdr:spPr>
        <a:xfrm>
          <a:off x="5121910" y="361950"/>
          <a:ext cx="1497330" cy="20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BB51C841-0B2A-4710-A266-FBB1E0C058C6}" type="TxLink">
            <a:rPr lang="en-US" sz="1100" b="1" i="0" u="none" strike="noStrike">
              <a:solidFill>
                <a:srgbClr val="00206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Downtime (Hrs)</a:t>
          </a:fld>
          <a:endParaRPr lang="en-US" sz="1050" b="1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311688</xdr:colOff>
      <xdr:row>2</xdr:row>
      <xdr:rowOff>82500</xdr:rowOff>
    </xdr:from>
    <xdr:to>
      <xdr:col>10</xdr:col>
      <xdr:colOff>512194</xdr:colOff>
      <xdr:row>4</xdr:row>
      <xdr:rowOff>67602</xdr:rowOff>
    </xdr:to>
    <xdr:sp textlink="Calculations!B15">
      <xdr:nvSpPr>
        <xdr:cNvPr id="47" name="TextBox 46"/>
        <xdr:cNvSpPr txBox="1"/>
      </xdr:nvSpPr>
      <xdr:spPr>
        <a:xfrm>
          <a:off x="5711825" y="567690"/>
          <a:ext cx="800735" cy="366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5E44E45-94BC-461E-B064-20F777D3DF05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44 Hrs</a:t>
          </a:fld>
          <a:endParaRPr lang="en-US" sz="6000" b="1"/>
        </a:p>
      </xdr:txBody>
    </xdr:sp>
    <xdr:clientData/>
  </xdr:twoCellAnchor>
  <xdr:twoCellAnchor>
    <xdr:from>
      <xdr:col>9</xdr:col>
      <xdr:colOff>428833</xdr:colOff>
      <xdr:row>4</xdr:row>
      <xdr:rowOff>21853</xdr:rowOff>
    </xdr:from>
    <xdr:to>
      <xdr:col>10</xdr:col>
      <xdr:colOff>398971</xdr:colOff>
      <xdr:row>4</xdr:row>
      <xdr:rowOff>163003</xdr:rowOff>
    </xdr:to>
    <xdr:sp>
      <xdr:nvSpPr>
        <xdr:cNvPr id="48" name="TextBox 47"/>
        <xdr:cNvSpPr txBox="1"/>
      </xdr:nvSpPr>
      <xdr:spPr>
        <a:xfrm>
          <a:off x="5829300" y="888365"/>
          <a:ext cx="570230" cy="140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</a:t>
          </a:r>
          <a:r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:</a:t>
          </a:r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10</xdr:col>
      <xdr:colOff>236866</xdr:colOff>
      <xdr:row>4</xdr:row>
      <xdr:rowOff>165461</xdr:rowOff>
    </xdr:from>
    <xdr:to>
      <xdr:col>11</xdr:col>
      <xdr:colOff>17971</xdr:colOff>
      <xdr:row>5</xdr:row>
      <xdr:rowOff>152759</xdr:rowOff>
    </xdr:to>
    <xdr:sp textlink="Calculations!B17">
      <xdr:nvSpPr>
        <xdr:cNvPr id="49" name="TextBox 48"/>
        <xdr:cNvSpPr txBox="1"/>
      </xdr:nvSpPr>
      <xdr:spPr>
        <a:xfrm>
          <a:off x="6237605" y="1031875"/>
          <a:ext cx="381000" cy="177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47231BAC-4459-49D8-8691-570EB0A43FF4}" type="TxLink">
            <a:rPr lang="en-US" sz="900" b="1" i="0" u="none" strike="noStrike" cap="none" spc="0">
              <a:ln w="22225">
                <a:noFill/>
                <a:prstDash val="solid"/>
              </a:ln>
              <a:solidFill>
                <a:srgbClr val="00B05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t>17%</a:t>
          </a:fld>
          <a:endParaRPr lang="en-US" sz="200" b="1" cap="none" spc="0">
            <a:ln w="22225">
              <a:noFill/>
              <a:prstDash val="solid"/>
            </a:ln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10</xdr:col>
      <xdr:colOff>216019</xdr:colOff>
      <xdr:row>3</xdr:row>
      <xdr:rowOff>170882</xdr:rowOff>
    </xdr:from>
    <xdr:to>
      <xdr:col>11</xdr:col>
      <xdr:colOff>260590</xdr:colOff>
      <xdr:row>5</xdr:row>
      <xdr:rowOff>0</xdr:rowOff>
    </xdr:to>
    <xdr:sp textlink="Calculations!B16">
      <xdr:nvSpPr>
        <xdr:cNvPr id="50" name="TextBox 49"/>
        <xdr:cNvSpPr txBox="1"/>
      </xdr:nvSpPr>
      <xdr:spPr>
        <a:xfrm>
          <a:off x="6216650" y="847090"/>
          <a:ext cx="644525" cy="21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A8F5A98-322B-472A-AAF5-36CDE96E939A}" type="TxLink">
            <a:rPr lang="en-US" sz="105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254 Hrs</a:t>
          </a:fld>
          <a:endParaRPr lang="en-US" sz="100" b="1"/>
        </a:p>
      </xdr:txBody>
    </xdr:sp>
    <xdr:clientData/>
  </xdr:twoCellAnchor>
  <xdr:twoCellAnchor editAs="oneCell">
    <xdr:from>
      <xdr:col>0</xdr:col>
      <xdr:colOff>87474</xdr:colOff>
      <xdr:row>8</xdr:row>
      <xdr:rowOff>48596</xdr:rowOff>
    </xdr:from>
    <xdr:to>
      <xdr:col>3</xdr:col>
      <xdr:colOff>97193</xdr:colOff>
      <xdr:row>16</xdr:row>
      <xdr:rowOff>48596</xdr:rowOff>
    </xdr:to>
    <xdr:graphicFrame>
      <xdr:nvGraphicFramePr>
        <xdr:cNvPr id="54" name="Chart 53"/>
        <xdr:cNvGraphicFramePr/>
      </xdr:nvGraphicFramePr>
      <xdr:xfrm>
        <a:off x="86995" y="1677035"/>
        <a:ext cx="1810385" cy="15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401100</xdr:colOff>
      <xdr:row>12</xdr:row>
      <xdr:rowOff>61687</xdr:rowOff>
    </xdr:from>
    <xdr:to>
      <xdr:col>2</xdr:col>
      <xdr:colOff>470831</xdr:colOff>
      <xdr:row>14</xdr:row>
      <xdr:rowOff>90848</xdr:rowOff>
    </xdr:to>
    <xdr:sp textlink="Machines!E4">
      <xdr:nvSpPr>
        <xdr:cNvPr id="55" name="TextBox 54"/>
        <xdr:cNvSpPr txBox="1"/>
      </xdr:nvSpPr>
      <xdr:spPr>
        <a:xfrm>
          <a:off x="1000760" y="2452370"/>
          <a:ext cx="669925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05A2F9-839E-45D8-AD05-09EDA35797C2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Machines</a:t>
          </a:fld>
          <a:endParaRPr lang="en-US" sz="800" b="1"/>
        </a:p>
      </xdr:txBody>
    </xdr:sp>
    <xdr:clientData/>
  </xdr:twoCellAnchor>
  <xdr:twoCellAnchor>
    <xdr:from>
      <xdr:col>1</xdr:col>
      <xdr:colOff>481321</xdr:colOff>
      <xdr:row>11</xdr:row>
      <xdr:rowOff>18051</xdr:rowOff>
    </xdr:from>
    <xdr:to>
      <xdr:col>2</xdr:col>
      <xdr:colOff>385927</xdr:colOff>
      <xdr:row>13</xdr:row>
      <xdr:rowOff>8331</xdr:rowOff>
    </xdr:to>
    <xdr:sp textlink="Machines!F4">
      <xdr:nvSpPr>
        <xdr:cNvPr id="56" name="TextBox 55"/>
        <xdr:cNvSpPr txBox="1"/>
      </xdr:nvSpPr>
      <xdr:spPr>
        <a:xfrm>
          <a:off x="1080770" y="2218055"/>
          <a:ext cx="5048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471160CE-DDBC-4BD3-8A05-74CA605585B5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53</a:t>
          </a:fld>
          <a:endParaRPr lang="en-US" sz="2400" b="1"/>
        </a:p>
      </xdr:txBody>
    </xdr:sp>
    <xdr:clientData/>
  </xdr:twoCellAnchor>
  <xdr:twoCellAnchor>
    <xdr:from>
      <xdr:col>3</xdr:col>
      <xdr:colOff>68036</xdr:colOff>
      <xdr:row>8</xdr:row>
      <xdr:rowOff>38878</xdr:rowOff>
    </xdr:from>
    <xdr:to>
      <xdr:col>5</xdr:col>
      <xdr:colOff>388776</xdr:colOff>
      <xdr:row>16</xdr:row>
      <xdr:rowOff>1</xdr:rowOff>
    </xdr:to>
    <xdr:sp>
      <xdr:nvSpPr>
        <xdr:cNvPr id="57" name="TextBox 56"/>
        <xdr:cNvSpPr txBox="1"/>
      </xdr:nvSpPr>
      <xdr:spPr>
        <a:xfrm>
          <a:off x="1868170" y="1667510"/>
          <a:ext cx="1520825" cy="14852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3</xdr:col>
      <xdr:colOff>57853</xdr:colOff>
      <xdr:row>8</xdr:row>
      <xdr:rowOff>34751</xdr:rowOff>
    </xdr:from>
    <xdr:ext cx="1555710" cy="203374"/>
    <xdr:sp textlink="Machines!J2">
      <xdr:nvSpPr>
        <xdr:cNvPr id="58" name="TextBox 57"/>
        <xdr:cNvSpPr txBox="1"/>
      </xdr:nvSpPr>
      <xdr:spPr>
        <a:xfrm>
          <a:off x="1858010" y="1663065"/>
          <a:ext cx="1555750" cy="203835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309AC54-BDD4-4100-A6AE-827490D5A964}" type="TxLink">
            <a:rPr lang="en-US" sz="105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Support Department</a:t>
          </a:fld>
          <a:endParaRPr lang="en-US" sz="1050" b="1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67528</xdr:colOff>
      <xdr:row>9</xdr:row>
      <xdr:rowOff>27275</xdr:rowOff>
    </xdr:from>
    <xdr:ext cx="1546035" cy="182275"/>
    <xdr:sp textlink="Machines!K2">
      <xdr:nvSpPr>
        <xdr:cNvPr id="67" name="TextBox 66"/>
        <xdr:cNvSpPr txBox="1"/>
      </xdr:nvSpPr>
      <xdr:spPr>
        <a:xfrm>
          <a:off x="1867535" y="1845945"/>
          <a:ext cx="1546225" cy="18288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C9A9E2D-E28A-4793-BC0B-0194F959A56A}" type="TxLink">
            <a:rPr lang="en-US" sz="9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Running Status</a:t>
          </a:fld>
          <a:endParaRPr lang="en-US" sz="600" b="1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56068</xdr:colOff>
      <xdr:row>8</xdr:row>
      <xdr:rowOff>57583</xdr:rowOff>
    </xdr:from>
    <xdr:ext cx="1975174" cy="199592"/>
    <xdr:sp>
      <xdr:nvSpPr>
        <xdr:cNvPr id="74" name="TextBox 73"/>
        <xdr:cNvSpPr txBox="1"/>
      </xdr:nvSpPr>
      <xdr:spPr>
        <a:xfrm>
          <a:off x="55880" y="1685925"/>
          <a:ext cx="1974850" cy="200025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5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Injecton</a:t>
          </a:r>
          <a:r>
            <a:rPr lang="en-US" sz="1050" b="1" i="0" u="none" strike="noStrike" baseline="0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&amp; Blow &amp; TFM</a:t>
          </a:r>
          <a:endParaRPr lang="en-US" sz="1050" b="1" i="0" u="none" strike="noStrike" baseline="0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twoCellAnchor>
    <xdr:from>
      <xdr:col>11</xdr:col>
      <xdr:colOff>260589</xdr:colOff>
      <xdr:row>18</xdr:row>
      <xdr:rowOff>120872</xdr:rowOff>
    </xdr:from>
    <xdr:to>
      <xdr:col>13</xdr:col>
      <xdr:colOff>269574</xdr:colOff>
      <xdr:row>21</xdr:row>
      <xdr:rowOff>161581</xdr:rowOff>
    </xdr:to>
    <xdr:sp>
      <xdr:nvSpPr>
        <xdr:cNvPr id="84" name="Rounded Rectangle 6"/>
        <xdr:cNvSpPr/>
      </xdr:nvSpPr>
      <xdr:spPr>
        <a:xfrm>
          <a:off x="6861175" y="3654425"/>
          <a:ext cx="1209040" cy="612140"/>
        </a:xfrm>
        <a:prstGeom prst="roundRect">
          <a:avLst/>
        </a:prstGeom>
        <a:solidFill>
          <a:srgbClr val="FF0000"/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305518</xdr:colOff>
      <xdr:row>18</xdr:row>
      <xdr:rowOff>124739</xdr:rowOff>
    </xdr:from>
    <xdr:to>
      <xdr:col>15</xdr:col>
      <xdr:colOff>278562</xdr:colOff>
      <xdr:row>21</xdr:row>
      <xdr:rowOff>164645</xdr:rowOff>
    </xdr:to>
    <xdr:sp>
      <xdr:nvSpPr>
        <xdr:cNvPr id="85" name="Rounded Rectangle 6"/>
        <xdr:cNvSpPr/>
      </xdr:nvSpPr>
      <xdr:spPr>
        <a:xfrm>
          <a:off x="8106410" y="3658235"/>
          <a:ext cx="1172845" cy="611505"/>
        </a:xfrm>
        <a:prstGeom prst="roundRect">
          <a:avLst/>
        </a:prstGeom>
        <a:solidFill>
          <a:srgbClr val="FF0000"/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329635</xdr:colOff>
      <xdr:row>18</xdr:row>
      <xdr:rowOff>103863</xdr:rowOff>
    </xdr:from>
    <xdr:to>
      <xdr:col>17</xdr:col>
      <xdr:colOff>323491</xdr:colOff>
      <xdr:row>21</xdr:row>
      <xdr:rowOff>143769</xdr:rowOff>
    </xdr:to>
    <xdr:sp>
      <xdr:nvSpPr>
        <xdr:cNvPr id="86" name="Rounded Rectangle 6"/>
        <xdr:cNvSpPr/>
      </xdr:nvSpPr>
      <xdr:spPr>
        <a:xfrm>
          <a:off x="9330690" y="3637280"/>
          <a:ext cx="1193800" cy="611505"/>
        </a:xfrm>
        <a:prstGeom prst="roundRect">
          <a:avLst/>
        </a:prstGeom>
        <a:solidFill>
          <a:srgbClr val="FF0000"/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66236</xdr:colOff>
      <xdr:row>1</xdr:row>
      <xdr:rowOff>78261</xdr:rowOff>
    </xdr:from>
    <xdr:to>
      <xdr:col>16</xdr:col>
      <xdr:colOff>466530</xdr:colOff>
      <xdr:row>2</xdr:row>
      <xdr:rowOff>97196</xdr:rowOff>
    </xdr:to>
    <xdr:sp textlink="Calculations!A25">
      <xdr:nvSpPr>
        <xdr:cNvPr id="93" name="Text Box 19"/>
        <xdr:cNvSpPr txBox="1"/>
      </xdr:nvSpPr>
      <xdr:spPr>
        <a:xfrm>
          <a:off x="8467090" y="373380"/>
          <a:ext cx="16002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71163232-D3F4-48D0-9892-3BDEF5672653}" type="TxLink">
            <a:rPr lang="en-US" sz="1100" b="1" i="0" u="none" strike="noStrike">
              <a:solidFill>
                <a:schemeClr val="accent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Energy Consumed (kwh)</a:t>
          </a:fld>
          <a:endParaRPr lang="en-US" sz="1050" b="1">
            <a:solidFill>
              <a:schemeClr val="accent2"/>
            </a:solidFill>
          </a:endParaRPr>
        </a:p>
      </xdr:txBody>
    </xdr:sp>
    <xdr:clientData/>
  </xdr:twoCellAnchor>
  <xdr:twoCellAnchor>
    <xdr:from>
      <xdr:col>14</xdr:col>
      <xdr:colOff>317414</xdr:colOff>
      <xdr:row>2</xdr:row>
      <xdr:rowOff>22904</xdr:rowOff>
    </xdr:from>
    <xdr:to>
      <xdr:col>16</xdr:col>
      <xdr:colOff>521177</xdr:colOff>
      <xdr:row>3</xdr:row>
      <xdr:rowOff>175272</xdr:rowOff>
    </xdr:to>
    <xdr:sp textlink="Calculations!B25">
      <xdr:nvSpPr>
        <xdr:cNvPr id="94" name="TextBox 93"/>
        <xdr:cNvSpPr txBox="1"/>
      </xdr:nvSpPr>
      <xdr:spPr>
        <a:xfrm>
          <a:off x="8717915" y="508635"/>
          <a:ext cx="140398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D134B76-0BD8-46A0-BBE9-1C0661130016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34,278 </a:t>
          </a:fld>
          <a:endParaRPr lang="en-US" sz="13800" b="1"/>
        </a:p>
      </xdr:txBody>
    </xdr:sp>
    <xdr:clientData/>
  </xdr:twoCellAnchor>
  <xdr:twoCellAnchor>
    <xdr:from>
      <xdr:col>11</xdr:col>
      <xdr:colOff>247535</xdr:colOff>
      <xdr:row>24</xdr:row>
      <xdr:rowOff>107830</xdr:rowOff>
    </xdr:from>
    <xdr:to>
      <xdr:col>17</xdr:col>
      <xdr:colOff>348683</xdr:colOff>
      <xdr:row>29</xdr:row>
      <xdr:rowOff>179716</xdr:rowOff>
    </xdr:to>
    <xdr:sp>
      <xdr:nvSpPr>
        <xdr:cNvPr id="96" name="Rounded Rectangle 23"/>
        <xdr:cNvSpPr/>
      </xdr:nvSpPr>
      <xdr:spPr>
        <a:xfrm>
          <a:off x="6847840" y="4784090"/>
          <a:ext cx="3702050" cy="1024890"/>
        </a:xfrm>
        <a:prstGeom prst="roundRect">
          <a:avLst>
            <a:gd name="adj" fmla="val 255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236989</xdr:colOff>
      <xdr:row>23</xdr:row>
      <xdr:rowOff>76990</xdr:rowOff>
    </xdr:from>
    <xdr:to>
      <xdr:col>17</xdr:col>
      <xdr:colOff>357187</xdr:colOff>
      <xdr:row>24</xdr:row>
      <xdr:rowOff>140264</xdr:rowOff>
    </xdr:to>
    <xdr:sp>
      <xdr:nvSpPr>
        <xdr:cNvPr id="95" name="Rounded Rectangle 24"/>
        <xdr:cNvSpPr/>
      </xdr:nvSpPr>
      <xdr:spPr>
        <a:xfrm>
          <a:off x="6837680" y="4563110"/>
          <a:ext cx="3720465" cy="25336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 baseline="0"/>
            <a:t>SEMI FINISHED PRODUCTS </a:t>
          </a:r>
          <a:r>
            <a:rPr lang="en-US" sz="1100" b="1"/>
            <a:t>STOCK REPORT</a:t>
          </a:r>
          <a:endParaRPr lang="en-US" sz="1100" b="1"/>
        </a:p>
      </xdr:txBody>
    </xdr:sp>
    <xdr:clientData/>
  </xdr:twoCellAnchor>
  <xdr:twoCellAnchor>
    <xdr:from>
      <xdr:col>11</xdr:col>
      <xdr:colOff>295617</xdr:colOff>
      <xdr:row>25</xdr:row>
      <xdr:rowOff>137882</xdr:rowOff>
    </xdr:from>
    <xdr:to>
      <xdr:col>13</xdr:col>
      <xdr:colOff>255135</xdr:colOff>
      <xdr:row>28</xdr:row>
      <xdr:rowOff>178590</xdr:rowOff>
    </xdr:to>
    <xdr:sp>
      <xdr:nvSpPr>
        <xdr:cNvPr id="97" name="Rounded Rectangle 6"/>
        <xdr:cNvSpPr/>
      </xdr:nvSpPr>
      <xdr:spPr>
        <a:xfrm>
          <a:off x="6896100" y="5005070"/>
          <a:ext cx="1159510" cy="612140"/>
        </a:xfrm>
        <a:prstGeom prst="roundRect">
          <a:avLst/>
        </a:prstGeom>
        <a:solidFill>
          <a:schemeClr val="tx2">
            <a:lumMod val="75000"/>
          </a:schemeClr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321128</xdr:colOff>
      <xdr:row>25</xdr:row>
      <xdr:rowOff>129379</xdr:rowOff>
    </xdr:from>
    <xdr:to>
      <xdr:col>15</xdr:col>
      <xdr:colOff>279895</xdr:colOff>
      <xdr:row>28</xdr:row>
      <xdr:rowOff>169284</xdr:rowOff>
    </xdr:to>
    <xdr:sp>
      <xdr:nvSpPr>
        <xdr:cNvPr id="98" name="Rounded Rectangle 6"/>
        <xdr:cNvSpPr/>
      </xdr:nvSpPr>
      <xdr:spPr>
        <a:xfrm>
          <a:off x="8121650" y="4996180"/>
          <a:ext cx="1158875" cy="611505"/>
        </a:xfrm>
        <a:prstGeom prst="roundRect">
          <a:avLst/>
        </a:prstGeom>
        <a:solidFill>
          <a:schemeClr val="tx2">
            <a:lumMod val="75000"/>
          </a:schemeClr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346644</xdr:colOff>
      <xdr:row>25</xdr:row>
      <xdr:rowOff>120873</xdr:rowOff>
    </xdr:from>
    <xdr:to>
      <xdr:col>17</xdr:col>
      <xdr:colOff>305410</xdr:colOff>
      <xdr:row>28</xdr:row>
      <xdr:rowOff>160778</xdr:rowOff>
    </xdr:to>
    <xdr:sp>
      <xdr:nvSpPr>
        <xdr:cNvPr id="99" name="Rounded Rectangle 6"/>
        <xdr:cNvSpPr/>
      </xdr:nvSpPr>
      <xdr:spPr>
        <a:xfrm>
          <a:off x="9347200" y="4987925"/>
          <a:ext cx="1158875" cy="611505"/>
        </a:xfrm>
        <a:prstGeom prst="roundRect">
          <a:avLst/>
        </a:prstGeom>
        <a:solidFill>
          <a:schemeClr val="tx2">
            <a:lumMod val="75000"/>
          </a:schemeClr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557123</xdr:colOff>
      <xdr:row>8</xdr:row>
      <xdr:rowOff>112515</xdr:rowOff>
    </xdr:from>
    <xdr:to>
      <xdr:col>14</xdr:col>
      <xdr:colOff>53916</xdr:colOff>
      <xdr:row>11</xdr:row>
      <xdr:rowOff>71887</xdr:rowOff>
    </xdr:to>
    <xdr:sp>
      <xdr:nvSpPr>
        <xdr:cNvPr id="108" name="Rounded Rectangle 6"/>
        <xdr:cNvSpPr/>
      </xdr:nvSpPr>
      <xdr:spPr>
        <a:xfrm>
          <a:off x="7157720" y="1741170"/>
          <a:ext cx="1296670" cy="530860"/>
        </a:xfrm>
        <a:prstGeom prst="roundRect">
          <a:avLst/>
        </a:prstGeom>
        <a:solidFill>
          <a:schemeClr val="accent2">
            <a:lumMod val="75000"/>
          </a:schemeClr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593064</xdr:colOff>
      <xdr:row>8</xdr:row>
      <xdr:rowOff>94540</xdr:rowOff>
    </xdr:from>
    <xdr:to>
      <xdr:col>17</xdr:col>
      <xdr:colOff>125799</xdr:colOff>
      <xdr:row>11</xdr:row>
      <xdr:rowOff>64831</xdr:rowOff>
    </xdr:to>
    <xdr:sp>
      <xdr:nvSpPr>
        <xdr:cNvPr id="111" name="Rounded Rectangle 6"/>
        <xdr:cNvSpPr/>
      </xdr:nvSpPr>
      <xdr:spPr>
        <a:xfrm>
          <a:off x="8993505" y="1722755"/>
          <a:ext cx="1333500" cy="542290"/>
        </a:xfrm>
        <a:prstGeom prst="roundRect">
          <a:avLst/>
        </a:prstGeom>
        <a:solidFill>
          <a:schemeClr val="accent2">
            <a:lumMod val="75000"/>
          </a:schemeClr>
        </a:solidFill>
        <a:ln w="28575"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407535</xdr:colOff>
      <xdr:row>18</xdr:row>
      <xdr:rowOff>54198</xdr:rowOff>
    </xdr:from>
    <xdr:to>
      <xdr:col>10</xdr:col>
      <xdr:colOff>390524</xdr:colOff>
      <xdr:row>19</xdr:row>
      <xdr:rowOff>140830</xdr:rowOff>
    </xdr:to>
    <xdr:sp>
      <xdr:nvSpPr>
        <xdr:cNvPr id="112" name="Rounded Rectangle 6"/>
        <xdr:cNvSpPr/>
      </xdr:nvSpPr>
      <xdr:spPr>
        <a:xfrm>
          <a:off x="5207635" y="3587750"/>
          <a:ext cx="1183005" cy="27686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171011</xdr:colOff>
      <xdr:row>1</xdr:row>
      <xdr:rowOff>58823</xdr:rowOff>
    </xdr:from>
    <xdr:to>
      <xdr:col>14</xdr:col>
      <xdr:colOff>0</xdr:colOff>
      <xdr:row>2</xdr:row>
      <xdr:rowOff>103999</xdr:rowOff>
    </xdr:to>
    <xdr:sp textlink="Calculations!A21">
      <xdr:nvSpPr>
        <xdr:cNvPr id="114" name="Text Box 19"/>
        <xdr:cNvSpPr txBox="1"/>
      </xdr:nvSpPr>
      <xdr:spPr>
        <a:xfrm>
          <a:off x="6771640" y="353695"/>
          <a:ext cx="1629410" cy="235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6089786-F10F-4684-9166-FA290BB60D61}" type="TxLink">
            <a:rPr lang="en-US" sz="1100" b="1" i="0" u="none" strike="noStrike">
              <a:solidFill>
                <a:schemeClr val="accent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Today's FG. Transfer (Kg)</a:t>
          </a:fld>
          <a:endParaRPr lang="en-US" sz="1050" b="1">
            <a:solidFill>
              <a:schemeClr val="accent2"/>
            </a:solidFill>
          </a:endParaRPr>
        </a:p>
      </xdr:txBody>
    </xdr:sp>
    <xdr:clientData/>
  </xdr:twoCellAnchor>
  <xdr:twoCellAnchor>
    <xdr:from>
      <xdr:col>12</xdr:col>
      <xdr:colOff>47196</xdr:colOff>
      <xdr:row>2</xdr:row>
      <xdr:rowOff>94464</xdr:rowOff>
    </xdr:from>
    <xdr:to>
      <xdr:col>13</xdr:col>
      <xdr:colOff>333375</xdr:colOff>
      <xdr:row>4</xdr:row>
      <xdr:rowOff>57150</xdr:rowOff>
    </xdr:to>
    <xdr:sp textlink="Calculations!B21">
      <xdr:nvSpPr>
        <xdr:cNvPr id="115" name="TextBox 114"/>
        <xdr:cNvSpPr txBox="1"/>
      </xdr:nvSpPr>
      <xdr:spPr>
        <a:xfrm>
          <a:off x="7247890" y="579755"/>
          <a:ext cx="886460" cy="344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8BFF2EA-3206-4ACA-8943-F6A3B06029AE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30,867 </a:t>
          </a:fld>
          <a:endParaRPr lang="en-US" sz="13800" b="1"/>
        </a:p>
      </xdr:txBody>
    </xdr:sp>
    <xdr:clientData/>
  </xdr:twoCellAnchor>
  <xdr:twoCellAnchor>
    <xdr:from>
      <xdr:col>12</xdr:col>
      <xdr:colOff>267987</xdr:colOff>
      <xdr:row>4</xdr:row>
      <xdr:rowOff>39825</xdr:rowOff>
    </xdr:from>
    <xdr:to>
      <xdr:col>13</xdr:col>
      <xdr:colOff>238125</xdr:colOff>
      <xdr:row>4</xdr:row>
      <xdr:rowOff>180975</xdr:rowOff>
    </xdr:to>
    <xdr:sp>
      <xdr:nvSpPr>
        <xdr:cNvPr id="116" name="TextBox 115"/>
        <xdr:cNvSpPr txBox="1"/>
      </xdr:nvSpPr>
      <xdr:spPr>
        <a:xfrm>
          <a:off x="7468870" y="906145"/>
          <a:ext cx="570230" cy="141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</a:t>
          </a:r>
          <a:r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:</a:t>
          </a:r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13</xdr:col>
      <xdr:colOff>19253</xdr:colOff>
      <xdr:row>3</xdr:row>
      <xdr:rowOff>190499</xdr:rowOff>
    </xdr:from>
    <xdr:to>
      <xdr:col>14</xdr:col>
      <xdr:colOff>126546</xdr:colOff>
      <xdr:row>5</xdr:row>
      <xdr:rowOff>28575</xdr:rowOff>
    </xdr:to>
    <xdr:sp textlink="Calculations!B22">
      <xdr:nvSpPr>
        <xdr:cNvPr id="117" name="TextBox 116"/>
        <xdr:cNvSpPr txBox="1"/>
      </xdr:nvSpPr>
      <xdr:spPr>
        <a:xfrm>
          <a:off x="7820025" y="866140"/>
          <a:ext cx="707390" cy="219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38D02B8-F639-4723-B1FF-E8B0396541A7}" type="TxLink">
            <a:rPr lang="en-US" sz="105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35,000 </a:t>
          </a:fld>
          <a:endParaRPr lang="en-US" sz="200" b="1"/>
        </a:p>
      </xdr:txBody>
    </xdr:sp>
    <xdr:clientData/>
  </xdr:twoCellAnchor>
  <xdr:twoCellAnchor>
    <xdr:from>
      <xdr:col>13</xdr:col>
      <xdr:colOff>104774</xdr:colOff>
      <xdr:row>4</xdr:row>
      <xdr:rowOff>174987</xdr:rowOff>
    </xdr:from>
    <xdr:to>
      <xdr:col>14</xdr:col>
      <xdr:colOff>66675</xdr:colOff>
      <xdr:row>5</xdr:row>
      <xdr:rowOff>152401</xdr:rowOff>
    </xdr:to>
    <xdr:sp textlink="Calculations!B24">
      <xdr:nvSpPr>
        <xdr:cNvPr id="118" name="TextBox 117"/>
        <xdr:cNvSpPr txBox="1"/>
      </xdr:nvSpPr>
      <xdr:spPr>
        <a:xfrm>
          <a:off x="7905115" y="1041400"/>
          <a:ext cx="562610" cy="168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423E19BF-6DD7-420E-89CB-38D5E677D263}" type="TxLink">
            <a:rPr lang="en-US" sz="900" b="1" i="0" u="none" strike="noStrike" cap="none" spc="0">
              <a:ln w="22225">
                <a:noFill/>
                <a:prstDash val="solid"/>
              </a:ln>
              <a:solidFill>
                <a:srgbClr val="FF0000"/>
              </a:solidFill>
              <a:effectLst/>
              <a:latin typeface="Calibri" panose="020F0502020204030204"/>
              <a:ea typeface="Calibri" panose="020F0502020204030204"/>
              <a:cs typeface="Calibri" panose="020F0502020204030204"/>
            </a:rPr>
            <a:t>12%</a:t>
          </a:fld>
          <a:endParaRPr lang="en-US" sz="100" b="1" cap="none" spc="0">
            <a:ln w="22225">
              <a:noFill/>
              <a:prstDash val="solid"/>
            </a:ln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13</xdr:col>
      <xdr:colOff>66675</xdr:colOff>
      <xdr:row>5</xdr:row>
      <xdr:rowOff>35379</xdr:rowOff>
    </xdr:from>
    <xdr:to>
      <xdr:col>13</xdr:col>
      <xdr:colOff>166066</xdr:colOff>
      <xdr:row>5</xdr:row>
      <xdr:rowOff>119048</xdr:rowOff>
    </xdr:to>
    <xdr:sp>
      <xdr:nvSpPr>
        <xdr:cNvPr id="119" name="Isosceles Triangle 118"/>
        <xdr:cNvSpPr/>
      </xdr:nvSpPr>
      <xdr:spPr>
        <a:xfrm rot="10800000">
          <a:off x="7867650" y="1092200"/>
          <a:ext cx="99060" cy="8382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320533</xdr:colOff>
      <xdr:row>18</xdr:row>
      <xdr:rowOff>116417</xdr:rowOff>
    </xdr:from>
    <xdr:to>
      <xdr:col>15</xdr:col>
      <xdr:colOff>257968</xdr:colOff>
      <xdr:row>20</xdr:row>
      <xdr:rowOff>9922</xdr:rowOff>
    </xdr:to>
    <xdr:sp textlink="Calculations!A19">
      <xdr:nvSpPr>
        <xdr:cNvPr id="89" name="Rounded Rectangle 6"/>
        <xdr:cNvSpPr/>
      </xdr:nvSpPr>
      <xdr:spPr>
        <a:xfrm>
          <a:off x="8121015" y="3649980"/>
          <a:ext cx="1137920" cy="274320"/>
        </a:xfrm>
        <a:prstGeom prst="roundRect">
          <a:avLst>
            <a:gd name="adj" fmla="val 20358"/>
          </a:avLst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C29A4398-92DF-4616-BB4D-AE1E311938FB}" type="TxLink">
            <a:rPr lang="en-US" sz="900" b="1" i="0" u="none" strike="noStrike">
              <a:solidFill>
                <a:srgbClr val="FF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Inward (Kg)</a:t>
          </a:fld>
          <a:endParaRPr lang="en-US" sz="600" b="1" i="0" u="none" strike="noStrike">
            <a:solidFill>
              <a:srgbClr val="FF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15</xdr:col>
      <xdr:colOff>341463</xdr:colOff>
      <xdr:row>18</xdr:row>
      <xdr:rowOff>116417</xdr:rowOff>
    </xdr:from>
    <xdr:to>
      <xdr:col>17</xdr:col>
      <xdr:colOff>305318</xdr:colOff>
      <xdr:row>19</xdr:row>
      <xdr:rowOff>158750</xdr:rowOff>
    </xdr:to>
    <xdr:sp textlink="Calculations!A20">
      <xdr:nvSpPr>
        <xdr:cNvPr id="91" name="Rounded Rectangle 6"/>
        <xdr:cNvSpPr/>
      </xdr:nvSpPr>
      <xdr:spPr>
        <a:xfrm>
          <a:off x="9342120" y="3649980"/>
          <a:ext cx="1163955" cy="233045"/>
        </a:xfrm>
        <a:prstGeom prst="round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DF84CAA5-0C40-4EC2-A3D3-F6E737942F73}" type="TxLink">
            <a:rPr lang="en-US" sz="900" b="1" i="0" u="none" strike="noStrike">
              <a:solidFill>
                <a:srgbClr val="FF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Outward (Kg)</a:t>
          </a:fld>
          <a:endParaRPr lang="en-US" sz="300" b="1" i="0" u="none" strike="noStrike">
            <a:solidFill>
              <a:srgbClr val="FF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267836</xdr:colOff>
      <xdr:row>18</xdr:row>
      <xdr:rowOff>115581</xdr:rowOff>
    </xdr:from>
    <xdr:to>
      <xdr:col>13</xdr:col>
      <xdr:colOff>248709</xdr:colOff>
      <xdr:row>19</xdr:row>
      <xdr:rowOff>169334</xdr:rowOff>
    </xdr:to>
    <xdr:sp textlink="Calculations!A18">
      <xdr:nvSpPr>
        <xdr:cNvPr id="87" name="Rounded Rectangle 6"/>
        <xdr:cNvSpPr/>
      </xdr:nvSpPr>
      <xdr:spPr>
        <a:xfrm>
          <a:off x="6868160" y="3649345"/>
          <a:ext cx="1181100" cy="243840"/>
        </a:xfrm>
        <a:prstGeom prst="roundRect">
          <a:avLst>
            <a:gd name="adj" fmla="val 20082"/>
          </a:avLst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1608911-556B-4BF8-BA8B-C21EECC072E5}" type="TxLink">
            <a:rPr lang="en-US" sz="900" b="1" i="0" u="none" strike="noStrike">
              <a:solidFill>
                <a:srgbClr val="FF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RM Stock (Kg)</a:t>
          </a:fld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200926</xdr:colOff>
      <xdr:row>19</xdr:row>
      <xdr:rowOff>153275</xdr:rowOff>
    </xdr:from>
    <xdr:to>
      <xdr:col>13</xdr:col>
      <xdr:colOff>185956</xdr:colOff>
      <xdr:row>21</xdr:row>
      <xdr:rowOff>49407</xdr:rowOff>
    </xdr:to>
    <xdr:sp textlink="Calculations!B18">
      <xdr:nvSpPr>
        <xdr:cNvPr id="88" name="Rounded Rectangle 6"/>
        <xdr:cNvSpPr/>
      </xdr:nvSpPr>
      <xdr:spPr>
        <a:xfrm>
          <a:off x="6801485" y="3877310"/>
          <a:ext cx="1184910" cy="27686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77FF4A14-4F94-4E41-A623-0EDA8D6385AF}" type="TxLink">
            <a:rPr lang="en-US" sz="14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714,199 </a:t>
          </a:fld>
          <a:endParaRPr lang="en-U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254986</xdr:colOff>
      <xdr:row>19</xdr:row>
      <xdr:rowOff>150717</xdr:rowOff>
    </xdr:from>
    <xdr:to>
      <xdr:col>15</xdr:col>
      <xdr:colOff>240017</xdr:colOff>
      <xdr:row>21</xdr:row>
      <xdr:rowOff>46849</xdr:rowOff>
    </xdr:to>
    <xdr:sp textlink="Calculations!B19">
      <xdr:nvSpPr>
        <xdr:cNvPr id="90" name="Rounded Rectangle 6"/>
        <xdr:cNvSpPr/>
      </xdr:nvSpPr>
      <xdr:spPr>
        <a:xfrm>
          <a:off x="8055610" y="3874770"/>
          <a:ext cx="1184910" cy="27686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1574EAF8-03DD-416E-A7F6-9CF867515039}" type="TxLink">
            <a:rPr lang="en-US" sz="14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214,378 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262432</xdr:colOff>
      <xdr:row>19</xdr:row>
      <xdr:rowOff>146076</xdr:rowOff>
    </xdr:from>
    <xdr:to>
      <xdr:col>17</xdr:col>
      <xdr:colOff>247462</xdr:colOff>
      <xdr:row>21</xdr:row>
      <xdr:rowOff>43754</xdr:rowOff>
    </xdr:to>
    <xdr:sp textlink="Calculations!B20">
      <xdr:nvSpPr>
        <xdr:cNvPr id="92" name="Rounded Rectangle 6"/>
        <xdr:cNvSpPr/>
      </xdr:nvSpPr>
      <xdr:spPr>
        <a:xfrm>
          <a:off x="9263380" y="3870325"/>
          <a:ext cx="1184910" cy="27813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8F9E81B-A461-4991-A67D-EEC9C11CDFBD}" type="TxLink">
            <a:rPr lang="en-US" sz="14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373,630 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13</xdr:col>
      <xdr:colOff>560787</xdr:colOff>
      <xdr:row>2</xdr:row>
      <xdr:rowOff>109114</xdr:rowOff>
    </xdr:from>
    <xdr:to>
      <xdr:col>15</xdr:col>
      <xdr:colOff>22134</xdr:colOff>
      <xdr:row>5</xdr:row>
      <xdr:rowOff>186265</xdr:rowOff>
    </xdr:to>
    <xdr:pic>
      <xdr:nvPicPr>
        <xdr:cNvPr id="121" name="Graphic 120" descr="Lightning bolt with solid fill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361680" y="594360"/>
          <a:ext cx="661035" cy="648970"/>
        </a:xfrm>
        <a:prstGeom prst="rect">
          <a:avLst/>
        </a:prstGeom>
      </xdr:spPr>
    </xdr:pic>
    <xdr:clientData/>
  </xdr:twoCellAnchor>
  <xdr:twoCellAnchor editAs="oneCell">
    <xdr:from>
      <xdr:col>5</xdr:col>
      <xdr:colOff>495690</xdr:colOff>
      <xdr:row>2</xdr:row>
      <xdr:rowOff>68036</xdr:rowOff>
    </xdr:from>
    <xdr:to>
      <xdr:col>6</xdr:col>
      <xdr:colOff>476250</xdr:colOff>
      <xdr:row>5</xdr:row>
      <xdr:rowOff>116632</xdr:rowOff>
    </xdr:to>
    <xdr:pic>
      <xdr:nvPicPr>
        <xdr:cNvPr id="123" name="Graphic 122" descr="Gauge with solid fill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495675" y="553720"/>
          <a:ext cx="581025" cy="619760"/>
        </a:xfrm>
        <a:prstGeom prst="rect">
          <a:avLst/>
        </a:prstGeom>
      </xdr:spPr>
    </xdr:pic>
    <xdr:clientData/>
  </xdr:twoCellAnchor>
  <xdr:twoCellAnchor>
    <xdr:from>
      <xdr:col>15</xdr:col>
      <xdr:colOff>53974</xdr:colOff>
      <xdr:row>3</xdr:row>
      <xdr:rowOff>134161</xdr:rowOff>
    </xdr:from>
    <xdr:to>
      <xdr:col>16</xdr:col>
      <xdr:colOff>97008</xdr:colOff>
      <xdr:row>4</xdr:row>
      <xdr:rowOff>152653</xdr:rowOff>
    </xdr:to>
    <xdr:sp textlink="Calculations!A27">
      <xdr:nvSpPr>
        <xdr:cNvPr id="124" name="TextBox 123"/>
        <xdr:cNvSpPr txBox="1"/>
      </xdr:nvSpPr>
      <xdr:spPr>
        <a:xfrm>
          <a:off x="9054465" y="810260"/>
          <a:ext cx="643255" cy="208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8A337DD-777A-4133-AC0F-2DA7FFE23BB1}" type="TxLink">
            <a:rPr lang="en-US" sz="11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Per Kg:</a:t>
          </a:fld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15</xdr:col>
      <xdr:colOff>449655</xdr:colOff>
      <xdr:row>3</xdr:row>
      <xdr:rowOff>146363</xdr:rowOff>
    </xdr:from>
    <xdr:to>
      <xdr:col>16</xdr:col>
      <xdr:colOff>466328</xdr:colOff>
      <xdr:row>4</xdr:row>
      <xdr:rowOff>119064</xdr:rowOff>
    </xdr:to>
    <xdr:sp textlink="Calculations!B27">
      <xdr:nvSpPr>
        <xdr:cNvPr id="125" name="TextBox 124"/>
        <xdr:cNvSpPr txBox="1"/>
      </xdr:nvSpPr>
      <xdr:spPr>
        <a:xfrm>
          <a:off x="9450705" y="822325"/>
          <a:ext cx="616585" cy="163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334D16E-7867-4203-B0D1-20FDA7E275B9}" type="TxLink">
            <a:rPr lang="en-US" sz="105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1.35 </a:t>
          </a:fld>
          <a:endParaRPr lang="en-US" sz="100" b="1"/>
        </a:p>
      </xdr:txBody>
    </xdr:sp>
    <xdr:clientData/>
  </xdr:twoCellAnchor>
  <xdr:twoCellAnchor>
    <xdr:from>
      <xdr:col>15</xdr:col>
      <xdr:colOff>240265</xdr:colOff>
      <xdr:row>9</xdr:row>
      <xdr:rowOff>147193</xdr:rowOff>
    </xdr:from>
    <xdr:to>
      <xdr:col>16</xdr:col>
      <xdr:colOff>490003</xdr:colOff>
      <xdr:row>11</xdr:row>
      <xdr:rowOff>45123</xdr:rowOff>
    </xdr:to>
    <xdr:sp textlink="Calculations!B29">
      <xdr:nvSpPr>
        <xdr:cNvPr id="113" name="Rounded Rectangle 6"/>
        <xdr:cNvSpPr/>
      </xdr:nvSpPr>
      <xdr:spPr>
        <a:xfrm>
          <a:off x="9241155" y="1965960"/>
          <a:ext cx="849630" cy="2794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376D8C72-B9AE-41B1-8BE9-DE7119363B74}" type="TxLink">
            <a:rPr lang="en-US" sz="1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30,867 </a:t>
          </a:fld>
          <a:endParaRPr lang="en-US" sz="16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15</xdr:col>
      <xdr:colOff>3116</xdr:colOff>
      <xdr:row>8</xdr:row>
      <xdr:rowOff>88942</xdr:rowOff>
    </xdr:from>
    <xdr:to>
      <xdr:col>17</xdr:col>
      <xdr:colOff>107828</xdr:colOff>
      <xdr:row>9</xdr:row>
      <xdr:rowOff>152760</xdr:rowOff>
    </xdr:to>
    <xdr:sp textlink="Calculations!A29">
      <xdr:nvSpPr>
        <xdr:cNvPr id="127" name="Rounded Rectangle 6"/>
        <xdr:cNvSpPr/>
      </xdr:nvSpPr>
      <xdr:spPr>
        <a:xfrm>
          <a:off x="9003665" y="1717675"/>
          <a:ext cx="1304925" cy="254000"/>
        </a:xfrm>
        <a:prstGeom prst="roundRect">
          <a:avLst/>
        </a:prstGeom>
        <a:solidFill>
          <a:sysClr val="window" lastClr="FFFFFF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4E531604-26D1-4B3F-9594-3899C419FAC5}" type="TxLink">
            <a:rPr lang="en-US" sz="10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FG Inward (Kg)</a:t>
          </a:fld>
          <a:endParaRPr lang="en-US" sz="700" b="1" i="0" u="none" strike="noStrike">
            <a:solidFill>
              <a:schemeClr val="accent2">
                <a:lumMod val="75000"/>
              </a:schemeClr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570512</xdr:colOff>
      <xdr:row>8</xdr:row>
      <xdr:rowOff>93808</xdr:rowOff>
    </xdr:from>
    <xdr:to>
      <xdr:col>14</xdr:col>
      <xdr:colOff>35277</xdr:colOff>
      <xdr:row>9</xdr:row>
      <xdr:rowOff>143774</xdr:rowOff>
    </xdr:to>
    <xdr:sp textlink="Calculations!A23">
      <xdr:nvSpPr>
        <xdr:cNvPr id="109" name="Rounded Rectangle 6"/>
        <xdr:cNvSpPr/>
      </xdr:nvSpPr>
      <xdr:spPr>
        <a:xfrm>
          <a:off x="7171055" y="1722120"/>
          <a:ext cx="1264920" cy="240665"/>
        </a:xfrm>
        <a:prstGeom prst="roundRect">
          <a:avLst/>
        </a:prstGeom>
        <a:solidFill>
          <a:sysClr val="window" lastClr="FFFFFF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7963228C-EA6E-4258-AB47-E3B3A4BEA7DA}" type="TxLink">
            <a:rPr lang="en-US" sz="10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FG Stock (Kg)</a:t>
          </a:fld>
          <a:endParaRPr lang="en-US" sz="700" b="1" i="0" u="none" strike="noStrike">
            <a:solidFill>
              <a:schemeClr val="accent2">
                <a:lumMod val="75000"/>
              </a:schemeClr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12</xdr:col>
      <xdr:colOff>99476</xdr:colOff>
      <xdr:row>9</xdr:row>
      <xdr:rowOff>147496</xdr:rowOff>
    </xdr:from>
    <xdr:to>
      <xdr:col>13</xdr:col>
      <xdr:colOff>467263</xdr:colOff>
      <xdr:row>11</xdr:row>
      <xdr:rowOff>49313</xdr:rowOff>
    </xdr:to>
    <xdr:sp textlink="Calculations!B23">
      <xdr:nvSpPr>
        <xdr:cNvPr id="110" name="Rounded Rectangle 6"/>
        <xdr:cNvSpPr/>
      </xdr:nvSpPr>
      <xdr:spPr>
        <a:xfrm>
          <a:off x="7299960" y="1966595"/>
          <a:ext cx="967740" cy="282575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823FB7A3-B586-495C-BFB6-D7841536FFDF}" type="TxLink">
            <a:rPr lang="en-US" sz="1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389,029 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224646</xdr:colOff>
      <xdr:row>9</xdr:row>
      <xdr:rowOff>188701</xdr:rowOff>
    </xdr:from>
    <xdr:to>
      <xdr:col>17</xdr:col>
      <xdr:colOff>350448</xdr:colOff>
      <xdr:row>16</xdr:row>
      <xdr:rowOff>161744</xdr:rowOff>
    </xdr:to>
    <xdr:graphicFrame>
      <xdr:nvGraphicFramePr>
        <xdr:cNvPr id="128" name="Chart 127"/>
        <xdr:cNvGraphicFramePr/>
      </xdr:nvGraphicFramePr>
      <xdr:xfrm>
        <a:off x="6824980" y="2007870"/>
        <a:ext cx="3726180" cy="1306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301609</xdr:colOff>
      <xdr:row>25</xdr:row>
      <xdr:rowOff>137882</xdr:rowOff>
    </xdr:from>
    <xdr:to>
      <xdr:col>13</xdr:col>
      <xdr:colOff>230606</xdr:colOff>
      <xdr:row>27</xdr:row>
      <xdr:rowOff>34013</xdr:rowOff>
    </xdr:to>
    <xdr:sp textlink="Calculations!A33">
      <xdr:nvSpPr>
        <xdr:cNvPr id="100" name="Rounded Rectangle 6"/>
        <xdr:cNvSpPr/>
      </xdr:nvSpPr>
      <xdr:spPr>
        <a:xfrm>
          <a:off x="6901815" y="5005070"/>
          <a:ext cx="1129665" cy="276860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8EAF95CE-D20A-4DC9-A606-91ED3A619F43}" type="TxLink">
            <a:rPr lang="en-US" sz="900" b="1" i="0" u="none" strike="noStrike">
              <a:solidFill>
                <a:schemeClr val="tx2">
                  <a:lumMod val="5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SFG Stock (Kg)</a:t>
          </a:fld>
          <a:endParaRPr lang="en-US" sz="6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276179</xdr:colOff>
      <xdr:row>27</xdr:row>
      <xdr:rowOff>37042</xdr:rowOff>
    </xdr:from>
    <xdr:to>
      <xdr:col>13</xdr:col>
      <xdr:colOff>165229</xdr:colOff>
      <xdr:row>28</xdr:row>
      <xdr:rowOff>127561</xdr:rowOff>
    </xdr:to>
    <xdr:sp textlink="Calculations!B33">
      <xdr:nvSpPr>
        <xdr:cNvPr id="101" name="Rounded Rectangle 6"/>
        <xdr:cNvSpPr/>
      </xdr:nvSpPr>
      <xdr:spPr>
        <a:xfrm>
          <a:off x="6876415" y="5285105"/>
          <a:ext cx="1089660" cy="28067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C3B9F46D-C11E-48DE-906B-8A6A8B11368C}" type="TxLink">
            <a:rPr lang="en-US" sz="1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26,162 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331073</xdr:colOff>
      <xdr:row>25</xdr:row>
      <xdr:rowOff>129379</xdr:rowOff>
    </xdr:from>
    <xdr:to>
      <xdr:col>15</xdr:col>
      <xdr:colOff>260684</xdr:colOff>
      <xdr:row>27</xdr:row>
      <xdr:rowOff>25510</xdr:rowOff>
    </xdr:to>
    <xdr:sp textlink="Calculations!A31">
      <xdr:nvSpPr>
        <xdr:cNvPr id="102" name="Rounded Rectangle 6"/>
        <xdr:cNvSpPr/>
      </xdr:nvSpPr>
      <xdr:spPr>
        <a:xfrm>
          <a:off x="8131810" y="4996180"/>
          <a:ext cx="1129665" cy="277495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C77F6653-9344-48E4-874E-6EC5396F682E}" type="TxLink">
            <a:rPr lang="en-US" sz="1000" b="1" i="0" u="none" strike="noStrike">
              <a:solidFill>
                <a:schemeClr val="tx2">
                  <a:lumMod val="5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Inward (Kg)</a:t>
          </a:fld>
          <a:endParaRPr lang="en-US" sz="1000" b="1" i="0" u="none" strike="noStrike">
            <a:solidFill>
              <a:schemeClr val="tx2">
                <a:lumMod val="50000"/>
              </a:schemeClr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13</xdr:col>
      <xdr:colOff>471782</xdr:colOff>
      <xdr:row>27</xdr:row>
      <xdr:rowOff>30969</xdr:rowOff>
    </xdr:from>
    <xdr:to>
      <xdr:col>15</xdr:col>
      <xdr:colOff>106913</xdr:colOff>
      <xdr:row>28</xdr:row>
      <xdr:rowOff>121488</xdr:rowOff>
    </xdr:to>
    <xdr:sp textlink="Calculations!B31">
      <xdr:nvSpPr>
        <xdr:cNvPr id="103" name="Rounded Rectangle 6"/>
        <xdr:cNvSpPr/>
      </xdr:nvSpPr>
      <xdr:spPr>
        <a:xfrm>
          <a:off x="8272145" y="5278755"/>
          <a:ext cx="835660" cy="281305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5D3382A7-C49A-46CC-B88F-8BCDFE01FE7A}" type="TxLink">
            <a:rPr lang="en-US" sz="1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740 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359926</xdr:colOff>
      <xdr:row>25</xdr:row>
      <xdr:rowOff>119662</xdr:rowOff>
    </xdr:from>
    <xdr:to>
      <xdr:col>17</xdr:col>
      <xdr:colOff>290764</xdr:colOff>
      <xdr:row>27</xdr:row>
      <xdr:rowOff>15793</xdr:rowOff>
    </xdr:to>
    <xdr:sp textlink="Calculations!A32">
      <xdr:nvSpPr>
        <xdr:cNvPr id="104" name="Rounded Rectangle 6"/>
        <xdr:cNvSpPr/>
      </xdr:nvSpPr>
      <xdr:spPr>
        <a:xfrm>
          <a:off x="9360535" y="4986655"/>
          <a:ext cx="1130935" cy="276860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/>
        <a:p>
          <a:pPr algn="l"/>
          <a:fld id="{B4558876-0AAE-4C8D-A7EE-2A49CAFDB8D4}" type="TxLink">
            <a:rPr lang="en-US" sz="900" b="1" i="0" u="none" strike="noStrike">
              <a:solidFill>
                <a:schemeClr val="tx2">
                  <a:lumMod val="5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Outward (Kg)</a:t>
          </a:fld>
          <a:endParaRPr lang="en-US" sz="100" b="1" i="0" u="none" strike="noStrike">
            <a:solidFill>
              <a:schemeClr val="tx2">
                <a:lumMod val="50000"/>
              </a:schemeClr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15</xdr:col>
      <xdr:colOff>515518</xdr:colOff>
      <xdr:row>27</xdr:row>
      <xdr:rowOff>23678</xdr:rowOff>
    </xdr:from>
    <xdr:to>
      <xdr:col>17</xdr:col>
      <xdr:colOff>165229</xdr:colOff>
      <xdr:row>28</xdr:row>
      <xdr:rowOff>114197</xdr:rowOff>
    </xdr:to>
    <xdr:sp textlink="Calculations!B32">
      <xdr:nvSpPr>
        <xdr:cNvPr id="105" name="Rounded Rectangle 6"/>
        <xdr:cNvSpPr/>
      </xdr:nvSpPr>
      <xdr:spPr>
        <a:xfrm>
          <a:off x="9516110" y="5271770"/>
          <a:ext cx="850265" cy="28067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580BADCD-D966-4AE9-BF4B-D8812AEFE26D}" type="TxLink">
            <a:rPr lang="en-US" sz="1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315 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141157</xdr:colOff>
      <xdr:row>18</xdr:row>
      <xdr:rowOff>47371</xdr:rowOff>
    </xdr:from>
    <xdr:to>
      <xdr:col>1</xdr:col>
      <xdr:colOff>532061</xdr:colOff>
      <xdr:row>21</xdr:row>
      <xdr:rowOff>3721</xdr:rowOff>
    </xdr:to>
    <xdr:sp>
      <xdr:nvSpPr>
        <xdr:cNvPr id="52" name="Rounded Rectangle 1"/>
        <xdr:cNvSpPr/>
      </xdr:nvSpPr>
      <xdr:spPr>
        <a:xfrm>
          <a:off x="140970" y="3580765"/>
          <a:ext cx="990600" cy="527685"/>
        </a:xfrm>
        <a:prstGeom prst="roundRect">
          <a:avLst/>
        </a:prstGeom>
        <a:noFill/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57859</xdr:colOff>
      <xdr:row>18</xdr:row>
      <xdr:rowOff>45094</xdr:rowOff>
    </xdr:from>
    <xdr:to>
      <xdr:col>3</xdr:col>
      <xdr:colOff>448825</xdr:colOff>
      <xdr:row>21</xdr:row>
      <xdr:rowOff>1426</xdr:rowOff>
    </xdr:to>
    <xdr:sp>
      <xdr:nvSpPr>
        <xdr:cNvPr id="60" name="Rounded Rectangle 1"/>
        <xdr:cNvSpPr/>
      </xdr:nvSpPr>
      <xdr:spPr>
        <a:xfrm>
          <a:off x="1257935" y="3578860"/>
          <a:ext cx="990600" cy="527685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552711</xdr:colOff>
      <xdr:row>18</xdr:row>
      <xdr:rowOff>42816</xdr:rowOff>
    </xdr:from>
    <xdr:to>
      <xdr:col>5</xdr:col>
      <xdr:colOff>301377</xdr:colOff>
      <xdr:row>20</xdr:row>
      <xdr:rowOff>188904</xdr:rowOff>
    </xdr:to>
    <xdr:sp>
      <xdr:nvSpPr>
        <xdr:cNvPr id="63" name="Rounded Rectangle 1"/>
        <xdr:cNvSpPr/>
      </xdr:nvSpPr>
      <xdr:spPr>
        <a:xfrm>
          <a:off x="2352675" y="3576320"/>
          <a:ext cx="948690" cy="527050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146767</xdr:colOff>
      <xdr:row>18</xdr:row>
      <xdr:rowOff>26184</xdr:rowOff>
    </xdr:from>
    <xdr:to>
      <xdr:col>1</xdr:col>
      <xdr:colOff>554386</xdr:colOff>
      <xdr:row>19</xdr:row>
      <xdr:rowOff>25665</xdr:rowOff>
    </xdr:to>
    <xdr:sp>
      <xdr:nvSpPr>
        <xdr:cNvPr id="122" name="Rounded Rectangle 1"/>
        <xdr:cNvSpPr/>
      </xdr:nvSpPr>
      <xdr:spPr>
        <a:xfrm>
          <a:off x="146685" y="3559810"/>
          <a:ext cx="1007745" cy="189865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600" b="1"/>
            <a:t>Mold</a:t>
          </a:r>
          <a:r>
            <a:rPr lang="en-US" sz="600" b="1" baseline="0"/>
            <a:t> Breakdown (Today)</a:t>
          </a:r>
          <a:endParaRPr lang="en-US" sz="600" b="1"/>
        </a:p>
      </xdr:txBody>
    </xdr:sp>
    <xdr:clientData/>
  </xdr:twoCellAnchor>
  <xdr:twoCellAnchor>
    <xdr:from>
      <xdr:col>0</xdr:col>
      <xdr:colOff>238577</xdr:colOff>
      <xdr:row>19</xdr:row>
      <xdr:rowOff>180935</xdr:rowOff>
    </xdr:from>
    <xdr:to>
      <xdr:col>1</xdr:col>
      <xdr:colOff>488170</xdr:colOff>
      <xdr:row>20</xdr:row>
      <xdr:rowOff>180416</xdr:rowOff>
    </xdr:to>
    <xdr:sp>
      <xdr:nvSpPr>
        <xdr:cNvPr id="126" name="Rounded Rectangle 1"/>
        <xdr:cNvSpPr/>
      </xdr:nvSpPr>
      <xdr:spPr>
        <a:xfrm>
          <a:off x="238125" y="3904615"/>
          <a:ext cx="849630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700" b="1">
              <a:solidFill>
                <a:schemeClr val="tx1">
                  <a:lumMod val="75000"/>
                  <a:lumOff val="25000"/>
                </a:schemeClr>
              </a:solidFill>
            </a:rPr>
            <a:t>Total</a:t>
          </a:r>
          <a:r>
            <a:rPr lang="en-US" sz="700" b="1" baseline="0">
              <a:solidFill>
                <a:schemeClr val="tx1">
                  <a:lumMod val="75000"/>
                  <a:lumOff val="25000"/>
                </a:schemeClr>
              </a:solidFill>
            </a:rPr>
            <a:t> Breakdown</a:t>
          </a:r>
          <a:endParaRPr lang="en-US" sz="7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2</xdr:col>
      <xdr:colOff>248752</xdr:colOff>
      <xdr:row>18</xdr:row>
      <xdr:rowOff>15630</xdr:rowOff>
    </xdr:from>
    <xdr:to>
      <xdr:col>3</xdr:col>
      <xdr:colOff>318537</xdr:colOff>
      <xdr:row>19</xdr:row>
      <xdr:rowOff>15110</xdr:rowOff>
    </xdr:to>
    <xdr:sp>
      <xdr:nvSpPr>
        <xdr:cNvPr id="129" name="Rounded Rectangle 1"/>
        <xdr:cNvSpPr/>
      </xdr:nvSpPr>
      <xdr:spPr>
        <a:xfrm>
          <a:off x="1448435" y="3549015"/>
          <a:ext cx="669925" cy="189865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700" b="1"/>
            <a:t>MTTR</a:t>
          </a:r>
          <a:r>
            <a:rPr lang="en-US" sz="700" b="1" baseline="0"/>
            <a:t> [AVG]</a:t>
          </a:r>
          <a:endParaRPr lang="en-US" sz="700" b="1"/>
        </a:p>
      </xdr:txBody>
    </xdr:sp>
    <xdr:clientData/>
  </xdr:twoCellAnchor>
  <xdr:twoCellAnchor>
    <xdr:from>
      <xdr:col>2</xdr:col>
      <xdr:colOff>431446</xdr:colOff>
      <xdr:row>19</xdr:row>
      <xdr:rowOff>177519</xdr:rowOff>
    </xdr:from>
    <xdr:to>
      <xdr:col>3</xdr:col>
      <xdr:colOff>170772</xdr:colOff>
      <xdr:row>20</xdr:row>
      <xdr:rowOff>177000</xdr:rowOff>
    </xdr:to>
    <xdr:sp>
      <xdr:nvSpPr>
        <xdr:cNvPr id="130" name="Rounded Rectangle 1"/>
        <xdr:cNvSpPr/>
      </xdr:nvSpPr>
      <xdr:spPr>
        <a:xfrm>
          <a:off x="1631315" y="3901440"/>
          <a:ext cx="339090" cy="189865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700" b="1">
              <a:solidFill>
                <a:schemeClr val="tx1">
                  <a:lumMod val="75000"/>
                  <a:lumOff val="25000"/>
                </a:schemeClr>
              </a:solidFill>
            </a:rPr>
            <a:t>Hrs</a:t>
          </a:r>
          <a:endParaRPr lang="en-US" sz="7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540747</xdr:colOff>
      <xdr:row>18</xdr:row>
      <xdr:rowOff>21932</xdr:rowOff>
    </xdr:from>
    <xdr:to>
      <xdr:col>5</xdr:col>
      <xdr:colOff>342304</xdr:colOff>
      <xdr:row>19</xdr:row>
      <xdr:rowOff>21413</xdr:rowOff>
    </xdr:to>
    <xdr:sp>
      <xdr:nvSpPr>
        <xdr:cNvPr id="131" name="Rounded Rectangle 1"/>
        <xdr:cNvSpPr/>
      </xdr:nvSpPr>
      <xdr:spPr>
        <a:xfrm>
          <a:off x="2340610" y="3555365"/>
          <a:ext cx="1002030" cy="189865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600" b="1"/>
            <a:t>Scheduled</a:t>
          </a:r>
          <a:r>
            <a:rPr lang="en-US" sz="600" b="1" baseline="0"/>
            <a:t> Machine PPM</a:t>
          </a:r>
          <a:endParaRPr lang="en-US" sz="600" b="1"/>
        </a:p>
      </xdr:txBody>
    </xdr:sp>
    <xdr:clientData/>
  </xdr:twoCellAnchor>
  <xdr:twoCellAnchor>
    <xdr:from>
      <xdr:col>4</xdr:col>
      <xdr:colOff>229462</xdr:colOff>
      <xdr:row>19</xdr:row>
      <xdr:rowOff>178594</xdr:rowOff>
    </xdr:from>
    <xdr:to>
      <xdr:col>5</xdr:col>
      <xdr:colOff>70843</xdr:colOff>
      <xdr:row>20</xdr:row>
      <xdr:rowOff>145794</xdr:rowOff>
    </xdr:to>
    <xdr:sp>
      <xdr:nvSpPr>
        <xdr:cNvPr id="132" name="Rounded Rectangle 1"/>
        <xdr:cNvSpPr/>
      </xdr:nvSpPr>
      <xdr:spPr>
        <a:xfrm>
          <a:off x="2629535" y="3902710"/>
          <a:ext cx="441325" cy="15748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700" b="1">
              <a:solidFill>
                <a:schemeClr val="tx1">
                  <a:lumMod val="75000"/>
                  <a:lumOff val="25000"/>
                </a:schemeClr>
              </a:solidFill>
            </a:rPr>
            <a:t>Today</a:t>
          </a:r>
          <a:endParaRPr lang="en-US" sz="7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oneCellAnchor>
    <xdr:from>
      <xdr:col>0</xdr:col>
      <xdr:colOff>146152</xdr:colOff>
      <xdr:row>21</xdr:row>
      <xdr:rowOff>158983</xdr:rowOff>
    </xdr:from>
    <xdr:ext cx="1118374" cy="240834"/>
    <xdr:sp>
      <xdr:nvSpPr>
        <xdr:cNvPr id="144" name="TextBox 143"/>
        <xdr:cNvSpPr txBox="1"/>
      </xdr:nvSpPr>
      <xdr:spPr>
        <a:xfrm>
          <a:off x="146050" y="4264025"/>
          <a:ext cx="1118235" cy="240665"/>
        </a:xfrm>
        <a:prstGeom prst="rect">
          <a:avLst/>
        </a:prstGeom>
        <a:solidFill>
          <a:srgbClr val="002060"/>
        </a:solidFill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9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MOLD</a:t>
          </a:r>
          <a:endParaRPr lang="en-US" sz="9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2</xdr:col>
      <xdr:colOff>65690</xdr:colOff>
      <xdr:row>21</xdr:row>
      <xdr:rowOff>160020</xdr:rowOff>
    </xdr:from>
    <xdr:ext cx="649852" cy="238450"/>
    <xdr:sp>
      <xdr:nvSpPr>
        <xdr:cNvPr id="145" name="TextBox 144"/>
        <xdr:cNvSpPr txBox="1"/>
      </xdr:nvSpPr>
      <xdr:spPr>
        <a:xfrm>
          <a:off x="1265555" y="4265295"/>
          <a:ext cx="649605" cy="238125"/>
        </a:xfrm>
        <a:prstGeom prst="rect">
          <a:avLst/>
        </a:prstGeom>
        <a:solidFill>
          <a:srgbClr val="002060"/>
        </a:solidFill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Duration (Hrs)</a:t>
          </a:r>
          <a:endParaRPr lang="en-US" sz="6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321737</xdr:colOff>
      <xdr:row>23</xdr:row>
      <xdr:rowOff>20726</xdr:rowOff>
    </xdr:from>
    <xdr:ext cx="1111119" cy="201600"/>
    <xdr:sp textlink="Machines!F11">
      <xdr:nvSpPr>
        <xdr:cNvPr id="148" name="TextBox 147"/>
        <xdr:cNvSpPr txBox="1"/>
      </xdr:nvSpPr>
      <xdr:spPr>
        <a:xfrm>
          <a:off x="2121535" y="4506595"/>
          <a:ext cx="1111250" cy="20193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2A9B5C05-E849-4058-AA58-54F0497801C1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MI-02-HT-86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320203</xdr:colOff>
      <xdr:row>24</xdr:row>
      <xdr:rowOff>54915</xdr:rowOff>
    </xdr:from>
    <xdr:ext cx="1112400" cy="201600"/>
    <xdr:sp textlink="Machines!F12">
      <xdr:nvSpPr>
        <xdr:cNvPr id="150" name="TextBox 149"/>
        <xdr:cNvSpPr txBox="1"/>
      </xdr:nvSpPr>
      <xdr:spPr>
        <a:xfrm>
          <a:off x="2120265" y="4731385"/>
          <a:ext cx="1112520" cy="20129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910B1831-1D9F-4B00-B183-615B2328DB7E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MI-03-FU-110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321524</xdr:colOff>
      <xdr:row>25</xdr:row>
      <xdr:rowOff>92310</xdr:rowOff>
    </xdr:from>
    <xdr:ext cx="1112400" cy="201600"/>
    <xdr:sp textlink="Machines!F13">
      <xdr:nvSpPr>
        <xdr:cNvPr id="152" name="TextBox 151"/>
        <xdr:cNvSpPr txBox="1"/>
      </xdr:nvSpPr>
      <xdr:spPr>
        <a:xfrm>
          <a:off x="2121535" y="4959350"/>
          <a:ext cx="1112520" cy="20129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9064DEE-E5B4-4E81-AB2C-A4C470B877C1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MI-04-FU-110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0</xdr:col>
      <xdr:colOff>151907</xdr:colOff>
      <xdr:row>23</xdr:row>
      <xdr:rowOff>15435</xdr:rowOff>
    </xdr:from>
    <xdr:ext cx="1116724" cy="202162"/>
    <xdr:sp textlink="Machines!F15">
      <xdr:nvSpPr>
        <xdr:cNvPr id="156" name="TextBox 155"/>
        <xdr:cNvSpPr txBox="1"/>
      </xdr:nvSpPr>
      <xdr:spPr>
        <a:xfrm>
          <a:off x="151765" y="4501515"/>
          <a:ext cx="1116330" cy="20193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2F6B6F63-085C-4AFB-A95C-D962AAECD897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Papilon Chair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2</xdr:col>
      <xdr:colOff>68582</xdr:colOff>
      <xdr:row>23</xdr:row>
      <xdr:rowOff>11723</xdr:rowOff>
    </xdr:from>
    <xdr:ext cx="639637" cy="205874"/>
    <xdr:sp textlink="Machines!G15">
      <xdr:nvSpPr>
        <xdr:cNvPr id="157" name="TextBox 156"/>
        <xdr:cNvSpPr txBox="1"/>
      </xdr:nvSpPr>
      <xdr:spPr>
        <a:xfrm>
          <a:off x="1268730" y="4497705"/>
          <a:ext cx="639445" cy="20574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BAADE00-C939-4E07-B09B-B86E10BD5F68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3:14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0</xdr:col>
      <xdr:colOff>153243</xdr:colOff>
      <xdr:row>24</xdr:row>
      <xdr:rowOff>47900</xdr:rowOff>
    </xdr:from>
    <xdr:ext cx="1116000" cy="201600"/>
    <xdr:sp textlink="Machines!F16">
      <xdr:nvSpPr>
        <xdr:cNvPr id="158" name="TextBox 157"/>
        <xdr:cNvSpPr txBox="1"/>
      </xdr:nvSpPr>
      <xdr:spPr>
        <a:xfrm>
          <a:off x="153035" y="4724400"/>
          <a:ext cx="1115695" cy="20129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EBAFB6D-71C8-4A3A-AB5B-1E304C4C9281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Papilon Lion Chair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2</xdr:col>
      <xdr:colOff>68032</xdr:colOff>
      <xdr:row>24</xdr:row>
      <xdr:rowOff>49267</xdr:rowOff>
    </xdr:from>
    <xdr:ext cx="639637" cy="199722"/>
    <xdr:sp textlink="Machines!G16">
      <xdr:nvSpPr>
        <xdr:cNvPr id="159" name="TextBox 158"/>
        <xdr:cNvSpPr txBox="1"/>
      </xdr:nvSpPr>
      <xdr:spPr>
        <a:xfrm>
          <a:off x="1268095" y="4725670"/>
          <a:ext cx="639445" cy="20002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BF6A63C-F718-429D-A502-8C3303DFB747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2:18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0</xdr:col>
      <xdr:colOff>151750</xdr:colOff>
      <xdr:row>25</xdr:row>
      <xdr:rowOff>82328</xdr:rowOff>
    </xdr:from>
    <xdr:ext cx="1116000" cy="201600"/>
    <xdr:sp textlink="Machines!F17">
      <xdr:nvSpPr>
        <xdr:cNvPr id="160" name="TextBox 159"/>
        <xdr:cNvSpPr txBox="1"/>
      </xdr:nvSpPr>
      <xdr:spPr>
        <a:xfrm>
          <a:off x="151130" y="4949190"/>
          <a:ext cx="1116330" cy="20193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AFDF8207-9DB0-41AE-A373-C13E7A8D5CAE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160ltr Drum Body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2</xdr:col>
      <xdr:colOff>58089</xdr:colOff>
      <xdr:row>25</xdr:row>
      <xdr:rowOff>82324</xdr:rowOff>
    </xdr:from>
    <xdr:ext cx="639637" cy="201600"/>
    <xdr:sp textlink="Machines!G17">
      <xdr:nvSpPr>
        <xdr:cNvPr id="161" name="TextBox 160"/>
        <xdr:cNvSpPr txBox="1"/>
      </xdr:nvSpPr>
      <xdr:spPr>
        <a:xfrm>
          <a:off x="1257935" y="4949190"/>
          <a:ext cx="639445" cy="20193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CF9408-3FCB-4A10-8EC8-75C8D2D45D51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3:17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0</xdr:col>
      <xdr:colOff>151498</xdr:colOff>
      <xdr:row>26</xdr:row>
      <xdr:rowOff>117445</xdr:rowOff>
    </xdr:from>
    <xdr:ext cx="1116000" cy="201600"/>
    <xdr:sp textlink="Machines!F18">
      <xdr:nvSpPr>
        <xdr:cNvPr id="75" name="TextBox 74"/>
        <xdr:cNvSpPr txBox="1"/>
      </xdr:nvSpPr>
      <xdr:spPr>
        <a:xfrm>
          <a:off x="151130" y="5174615"/>
          <a:ext cx="1116330" cy="20193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3BBD59F-3E70-4F01-B473-272F39E85560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The Place Container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319848</xdr:colOff>
      <xdr:row>26</xdr:row>
      <xdr:rowOff>121449</xdr:rowOff>
    </xdr:from>
    <xdr:ext cx="1112400" cy="201600"/>
    <xdr:sp textlink="Machines!F20">
      <xdr:nvSpPr>
        <xdr:cNvPr id="79" name="TextBox 78"/>
        <xdr:cNvSpPr txBox="1"/>
      </xdr:nvSpPr>
      <xdr:spPr>
        <a:xfrm>
          <a:off x="2119630" y="5179060"/>
          <a:ext cx="1112520" cy="20129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4131ECFD-1923-491A-9875-738C48596CB3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Chiller Compressor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2</xdr:col>
      <xdr:colOff>60587</xdr:colOff>
      <xdr:row>26</xdr:row>
      <xdr:rowOff>117401</xdr:rowOff>
    </xdr:from>
    <xdr:ext cx="639637" cy="201600"/>
    <xdr:sp textlink="Machines!G18">
      <xdr:nvSpPr>
        <xdr:cNvPr id="106" name="TextBox 105"/>
        <xdr:cNvSpPr txBox="1"/>
      </xdr:nvSpPr>
      <xdr:spPr>
        <a:xfrm>
          <a:off x="1260475" y="5174615"/>
          <a:ext cx="639445" cy="20193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291F2840-DF10-489E-83D1-7DCF011120D0}" type="TxLink"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1:00</a:t>
          </a:fld>
          <a:endParaRPr lang="en-US" sz="3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64770</xdr:colOff>
      <xdr:row>10</xdr:row>
      <xdr:rowOff>17318</xdr:rowOff>
    </xdr:from>
    <xdr:ext cx="943510" cy="136008"/>
    <xdr:sp>
      <xdr:nvSpPr>
        <xdr:cNvPr id="133" name="TextBox 132"/>
        <xdr:cNvSpPr txBox="1"/>
      </xdr:nvSpPr>
      <xdr:spPr>
        <a:xfrm>
          <a:off x="1864995" y="2026920"/>
          <a:ext cx="942975" cy="135890"/>
        </a:xfrm>
        <a:prstGeom prst="rect">
          <a:avLst/>
        </a:prstGeom>
        <a:solidFill>
          <a:srgbClr val="00206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Department</a:t>
          </a:r>
          <a:endParaRPr lang="en-US" sz="6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407671</xdr:colOff>
      <xdr:row>10</xdr:row>
      <xdr:rowOff>17315</xdr:rowOff>
    </xdr:from>
    <xdr:ext cx="590550" cy="136008"/>
    <xdr:sp>
      <xdr:nvSpPr>
        <xdr:cNvPr id="134" name="TextBox 133"/>
        <xdr:cNvSpPr txBox="1"/>
      </xdr:nvSpPr>
      <xdr:spPr>
        <a:xfrm>
          <a:off x="2807970" y="2026920"/>
          <a:ext cx="590550" cy="135890"/>
        </a:xfrm>
        <a:prstGeom prst="rect">
          <a:avLst/>
        </a:prstGeom>
        <a:solidFill>
          <a:srgbClr val="002060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Status</a:t>
          </a:r>
          <a:endParaRPr lang="en-US" sz="6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64770</xdr:colOff>
      <xdr:row>10</xdr:row>
      <xdr:rowOff>155246</xdr:rowOff>
    </xdr:from>
    <xdr:ext cx="943510" cy="168178"/>
    <xdr:sp textlink="Machines!J3">
      <xdr:nvSpPr>
        <xdr:cNvPr id="135" name="TextBox 134"/>
        <xdr:cNvSpPr txBox="1"/>
      </xdr:nvSpPr>
      <xdr:spPr>
        <a:xfrm>
          <a:off x="1864995" y="2164715"/>
          <a:ext cx="942975" cy="16827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DB578EC-BD4A-4DB9-8427-A8193897A4F2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Pet Blow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407671</xdr:colOff>
      <xdr:row>10</xdr:row>
      <xdr:rowOff>155243</xdr:rowOff>
    </xdr:from>
    <xdr:ext cx="590550" cy="169200"/>
    <xdr:sp textlink="Machines!K3">
      <xdr:nvSpPr>
        <xdr:cNvPr id="136" name="TextBox 135"/>
        <xdr:cNvSpPr txBox="1"/>
      </xdr:nvSpPr>
      <xdr:spPr>
        <a:xfrm>
          <a:off x="2807970" y="2164715"/>
          <a:ext cx="590550" cy="16891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F8624CA1-1EEE-4B47-B3CF-0A99944BD38C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Running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64770</xdr:colOff>
      <xdr:row>11</xdr:row>
      <xdr:rowOff>148878</xdr:rowOff>
    </xdr:from>
    <xdr:ext cx="943510" cy="169200"/>
    <xdr:sp textlink="Machines!J4">
      <xdr:nvSpPr>
        <xdr:cNvPr id="137" name="TextBox 136"/>
        <xdr:cNvSpPr txBox="1"/>
      </xdr:nvSpPr>
      <xdr:spPr>
        <a:xfrm>
          <a:off x="1864995" y="2348865"/>
          <a:ext cx="942975" cy="16891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848E72C-D90B-47C7-BA45-9F93EC026347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Foiling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407671</xdr:colOff>
      <xdr:row>11</xdr:row>
      <xdr:rowOff>148874</xdr:rowOff>
    </xdr:from>
    <xdr:ext cx="590550" cy="169200"/>
    <xdr:sp textlink="Machines!K4">
      <xdr:nvSpPr>
        <xdr:cNvPr id="138" name="TextBox 137"/>
        <xdr:cNvSpPr txBox="1"/>
      </xdr:nvSpPr>
      <xdr:spPr>
        <a:xfrm>
          <a:off x="2807970" y="2348865"/>
          <a:ext cx="590550" cy="16891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CC3C774E-CF73-4559-BA9C-B051C562F831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Running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64770</xdr:colOff>
      <xdr:row>12</xdr:row>
      <xdr:rowOff>146319</xdr:rowOff>
    </xdr:from>
    <xdr:ext cx="943510" cy="169200"/>
    <xdr:sp textlink="Machines!J5">
      <xdr:nvSpPr>
        <xdr:cNvPr id="139" name="TextBox 138"/>
        <xdr:cNvSpPr txBox="1"/>
      </xdr:nvSpPr>
      <xdr:spPr>
        <a:xfrm>
          <a:off x="1864995" y="2536825"/>
          <a:ext cx="942975" cy="16891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8185724-BA8A-4CF4-9C9A-CDE4416D9A26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Grinding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407671</xdr:colOff>
      <xdr:row>12</xdr:row>
      <xdr:rowOff>146315</xdr:rowOff>
    </xdr:from>
    <xdr:ext cx="590550" cy="169200"/>
    <xdr:sp textlink="Machines!K5">
      <xdr:nvSpPr>
        <xdr:cNvPr id="140" name="TextBox 139"/>
        <xdr:cNvSpPr txBox="1"/>
      </xdr:nvSpPr>
      <xdr:spPr>
        <a:xfrm>
          <a:off x="2807970" y="2536825"/>
          <a:ext cx="590550" cy="16891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AD1F538D-18B0-4594-A3EE-FC1ED5224CC0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Running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64770</xdr:colOff>
      <xdr:row>13</xdr:row>
      <xdr:rowOff>144014</xdr:rowOff>
    </xdr:from>
    <xdr:ext cx="943510" cy="169200"/>
    <xdr:sp textlink="Machines!J6">
      <xdr:nvSpPr>
        <xdr:cNvPr id="141" name="TextBox 140"/>
        <xdr:cNvSpPr txBox="1"/>
      </xdr:nvSpPr>
      <xdr:spPr>
        <a:xfrm>
          <a:off x="1864995" y="2724785"/>
          <a:ext cx="942975" cy="16954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3422B54-A4EB-4922-B7FD-3859CCE51D08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Ultrasonic Welding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407670</xdr:colOff>
      <xdr:row>13</xdr:row>
      <xdr:rowOff>144011</xdr:rowOff>
    </xdr:from>
    <xdr:ext cx="590550" cy="169200"/>
    <xdr:sp textlink="Machines!K6">
      <xdr:nvSpPr>
        <xdr:cNvPr id="142" name="TextBox 141"/>
        <xdr:cNvSpPr txBox="1"/>
      </xdr:nvSpPr>
      <xdr:spPr>
        <a:xfrm>
          <a:off x="2807970" y="2724785"/>
          <a:ext cx="590550" cy="16954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59336E4-05A2-4634-A51C-B6EDB695CD8B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Idle</a:t>
          </a:fld>
          <a:endParaRPr lang="en-US" sz="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3</xdr:col>
      <xdr:colOff>64771</xdr:colOff>
      <xdr:row>14</xdr:row>
      <xdr:rowOff>138157</xdr:rowOff>
    </xdr:from>
    <xdr:ext cx="943510" cy="169200"/>
    <xdr:sp textlink="Machines!J7">
      <xdr:nvSpPr>
        <xdr:cNvPr id="162" name="TextBox 161"/>
        <xdr:cNvSpPr txBox="1"/>
      </xdr:nvSpPr>
      <xdr:spPr>
        <a:xfrm>
          <a:off x="1864995" y="2909570"/>
          <a:ext cx="942975" cy="16954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96C418A4-39A9-4700-A510-839AB8F391B5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Mixing Section</a:t>
          </a:fld>
          <a:endParaRPr lang="en-US" sz="1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407671</xdr:colOff>
      <xdr:row>14</xdr:row>
      <xdr:rowOff>138154</xdr:rowOff>
    </xdr:from>
    <xdr:ext cx="590550" cy="169200"/>
    <xdr:sp textlink="Machines!K7">
      <xdr:nvSpPr>
        <xdr:cNvPr id="163" name="TextBox 162"/>
        <xdr:cNvSpPr txBox="1"/>
      </xdr:nvSpPr>
      <xdr:spPr>
        <a:xfrm>
          <a:off x="2807970" y="2909570"/>
          <a:ext cx="590550" cy="169545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961EAA7-048C-4036-A653-AA5E057FB191}" type="TxLink">
            <a:rPr lang="en-US" sz="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Running</a:t>
          </a:fld>
          <a:endParaRPr lang="en-US" sz="1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twoCellAnchor>
    <xdr:from>
      <xdr:col>15</xdr:col>
      <xdr:colOff>503572</xdr:colOff>
      <xdr:row>4</xdr:row>
      <xdr:rowOff>92444</xdr:rowOff>
    </xdr:from>
    <xdr:to>
      <xdr:col>16</xdr:col>
      <xdr:colOff>197690</xdr:colOff>
      <xdr:row>5</xdr:row>
      <xdr:rowOff>124908</xdr:rowOff>
    </xdr:to>
    <xdr:sp textlink="Calculations!B26">
      <xdr:nvSpPr>
        <xdr:cNvPr id="169" name="TextBox 168"/>
        <xdr:cNvSpPr txBox="1"/>
      </xdr:nvSpPr>
      <xdr:spPr>
        <a:xfrm>
          <a:off x="9504680" y="958850"/>
          <a:ext cx="294005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D156E71-6905-4E1B-8034-38FCD7582BFC}" type="TxLink">
            <a:rPr lang="en-US" sz="1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1 </a:t>
          </a:fld>
          <a:endParaRPr lang="en-US" sz="100" b="1"/>
        </a:p>
      </xdr:txBody>
    </xdr:sp>
    <xdr:clientData/>
  </xdr:twoCellAnchor>
  <xdr:twoCellAnchor>
    <xdr:from>
      <xdr:col>16</xdr:col>
      <xdr:colOff>179706</xdr:colOff>
      <xdr:row>5</xdr:row>
      <xdr:rowOff>16440</xdr:rowOff>
    </xdr:from>
    <xdr:to>
      <xdr:col>16</xdr:col>
      <xdr:colOff>594939</xdr:colOff>
      <xdr:row>6</xdr:row>
      <xdr:rowOff>48905</xdr:rowOff>
    </xdr:to>
    <xdr:sp textlink="Calculations!B28">
      <xdr:nvSpPr>
        <xdr:cNvPr id="170" name="TextBox 169"/>
        <xdr:cNvSpPr txBox="1"/>
      </xdr:nvSpPr>
      <xdr:spPr>
        <a:xfrm>
          <a:off x="9780905" y="1073150"/>
          <a:ext cx="414655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6BE4EEE-04F2-47D6-AF7B-01B21CC305DA}" type="TxLink">
            <a:rPr lang="en-US" sz="1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35%</a:t>
          </a:fld>
          <a:endParaRPr lang="en-US" sz="100" b="1"/>
        </a:p>
      </xdr:txBody>
    </xdr:sp>
    <xdr:clientData/>
  </xdr:twoCellAnchor>
  <xdr:twoCellAnchor>
    <xdr:from>
      <xdr:col>10</xdr:col>
      <xdr:colOff>184723</xdr:colOff>
      <xdr:row>5</xdr:row>
      <xdr:rowOff>20699</xdr:rowOff>
    </xdr:from>
    <xdr:to>
      <xdr:col>10</xdr:col>
      <xdr:colOff>284114</xdr:colOff>
      <xdr:row>5</xdr:row>
      <xdr:rowOff>104368</xdr:rowOff>
    </xdr:to>
    <xdr:sp>
      <xdr:nvSpPr>
        <xdr:cNvPr id="171" name="Isosceles Triangle 170"/>
        <xdr:cNvSpPr/>
      </xdr:nvSpPr>
      <xdr:spPr>
        <a:xfrm rot="10800000">
          <a:off x="6184900" y="1077595"/>
          <a:ext cx="99695" cy="83820"/>
        </a:xfrm>
        <a:prstGeom prst="triangl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133199</xdr:colOff>
      <xdr:row>4</xdr:row>
      <xdr:rowOff>105533</xdr:rowOff>
    </xdr:from>
    <xdr:to>
      <xdr:col>16</xdr:col>
      <xdr:colOff>128984</xdr:colOff>
      <xdr:row>5</xdr:row>
      <xdr:rowOff>119063</xdr:rowOff>
    </xdr:to>
    <xdr:sp>
      <xdr:nvSpPr>
        <xdr:cNvPr id="172" name="TextBox 171"/>
        <xdr:cNvSpPr txBox="1"/>
      </xdr:nvSpPr>
      <xdr:spPr>
        <a:xfrm>
          <a:off x="9133840" y="972185"/>
          <a:ext cx="596265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</a:t>
          </a:r>
          <a:r>
            <a:rPr lang="en-US" sz="9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:</a:t>
          </a:r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16</xdr:col>
      <xdr:colOff>145877</xdr:colOff>
      <xdr:row>5</xdr:row>
      <xdr:rowOff>87439</xdr:rowOff>
    </xdr:from>
    <xdr:to>
      <xdr:col>16</xdr:col>
      <xdr:colOff>245268</xdr:colOff>
      <xdr:row>5</xdr:row>
      <xdr:rowOff>171108</xdr:rowOff>
    </xdr:to>
    <xdr:sp>
      <xdr:nvSpPr>
        <xdr:cNvPr id="173" name="Isosceles Triangle 172"/>
        <xdr:cNvSpPr/>
      </xdr:nvSpPr>
      <xdr:spPr>
        <a:xfrm rot="10800000">
          <a:off x="9746615" y="1144270"/>
          <a:ext cx="99695" cy="8382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511175</xdr:colOff>
      <xdr:row>8</xdr:row>
      <xdr:rowOff>47626</xdr:rowOff>
    </xdr:from>
    <xdr:to>
      <xdr:col>11</xdr:col>
      <xdr:colOff>143773</xdr:colOff>
      <xdr:row>16</xdr:row>
      <xdr:rowOff>35945</xdr:rowOff>
    </xdr:to>
    <xdr:graphicFrame>
      <xdr:nvGraphicFramePr>
        <xdr:cNvPr id="177" name="Chart 176"/>
        <xdr:cNvGraphicFramePr/>
      </xdr:nvGraphicFramePr>
      <xdr:xfrm>
        <a:off x="3511550" y="1676400"/>
        <a:ext cx="3232785" cy="1511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485235</xdr:colOff>
      <xdr:row>16</xdr:row>
      <xdr:rowOff>129696</xdr:rowOff>
    </xdr:from>
    <xdr:to>
      <xdr:col>11</xdr:col>
      <xdr:colOff>161924</xdr:colOff>
      <xdr:row>18</xdr:row>
      <xdr:rowOff>5870</xdr:rowOff>
    </xdr:to>
    <xdr:sp>
      <xdr:nvSpPr>
        <xdr:cNvPr id="14" name="Rounded Rectangle 13"/>
        <xdr:cNvSpPr/>
      </xdr:nvSpPr>
      <xdr:spPr>
        <a:xfrm>
          <a:off x="3485515" y="3282315"/>
          <a:ext cx="3276600" cy="25717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TODAY</a:t>
          </a:r>
          <a:r>
            <a:rPr lang="en-US" sz="1100" b="1" baseline="0"/>
            <a:t> </a:t>
          </a:r>
          <a:r>
            <a:rPr lang="en-US" sz="1100" b="1"/>
            <a:t>SALES SUMMARY</a:t>
          </a:r>
          <a:endParaRPr lang="en-US" sz="1100" b="1"/>
        </a:p>
      </xdr:txBody>
    </xdr:sp>
    <xdr:clientData/>
  </xdr:twoCellAnchor>
  <xdr:twoCellAnchor>
    <xdr:from>
      <xdr:col>5</xdr:col>
      <xdr:colOff>494222</xdr:colOff>
      <xdr:row>18</xdr:row>
      <xdr:rowOff>17970</xdr:rowOff>
    </xdr:from>
    <xdr:to>
      <xdr:col>11</xdr:col>
      <xdr:colOff>107832</xdr:colOff>
      <xdr:row>29</xdr:row>
      <xdr:rowOff>53915</xdr:rowOff>
    </xdr:to>
    <xdr:graphicFrame>
      <xdr:nvGraphicFramePr>
        <xdr:cNvPr id="178" name="Chart 177"/>
        <xdr:cNvGraphicFramePr/>
      </xdr:nvGraphicFramePr>
      <xdr:xfrm>
        <a:off x="3494405" y="3551555"/>
        <a:ext cx="3213735" cy="2131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116819</xdr:colOff>
      <xdr:row>30</xdr:row>
      <xdr:rowOff>152819</xdr:rowOff>
    </xdr:from>
    <xdr:to>
      <xdr:col>5</xdr:col>
      <xdr:colOff>332478</xdr:colOff>
      <xdr:row>38</xdr:row>
      <xdr:rowOff>161747</xdr:rowOff>
    </xdr:to>
    <xdr:sp>
      <xdr:nvSpPr>
        <xdr:cNvPr id="179" name="Rounded Rectangle 1"/>
        <xdr:cNvSpPr/>
      </xdr:nvSpPr>
      <xdr:spPr>
        <a:xfrm>
          <a:off x="116205" y="5972175"/>
          <a:ext cx="3216275" cy="1532890"/>
        </a:xfrm>
        <a:prstGeom prst="roundRect">
          <a:avLst>
            <a:gd name="adj" fmla="val 3649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522318</xdr:colOff>
      <xdr:row>25</xdr:row>
      <xdr:rowOff>143774</xdr:rowOff>
    </xdr:from>
    <xdr:to>
      <xdr:col>8</xdr:col>
      <xdr:colOff>71887</xdr:colOff>
      <xdr:row>29</xdr:row>
      <xdr:rowOff>71887</xdr:rowOff>
    </xdr:to>
    <xdr:sp textlink="Sales!F1">
      <xdr:nvSpPr>
        <xdr:cNvPr id="183" name="Rounded Rectangle 7"/>
        <xdr:cNvSpPr/>
      </xdr:nvSpPr>
      <xdr:spPr>
        <a:xfrm>
          <a:off x="3522345" y="5010785"/>
          <a:ext cx="1350010" cy="690245"/>
        </a:xfrm>
        <a:prstGeom prst="roundRect">
          <a:avLst/>
        </a:prstGeom>
        <a:solidFill>
          <a:sysClr val="window" lastClr="FFFFFF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b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49AEE391-C047-41E4-B48E-0B8A22C7512C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16,388.37</a:t>
          </a:fld>
          <a:endParaRPr lang="en-US" sz="18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8985</xdr:colOff>
      <xdr:row>32</xdr:row>
      <xdr:rowOff>84546</xdr:rowOff>
    </xdr:from>
    <xdr:to>
      <xdr:col>1</xdr:col>
      <xdr:colOff>530163</xdr:colOff>
      <xdr:row>38</xdr:row>
      <xdr:rowOff>84244</xdr:rowOff>
    </xdr:to>
    <xdr:pic>
      <xdr:nvPicPr>
        <xdr:cNvPr id="187" name="Graphic 186" descr="Clipboard with solid fill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890" y="6285230"/>
          <a:ext cx="1120775" cy="1142365"/>
        </a:xfrm>
        <a:prstGeom prst="rect">
          <a:avLst/>
        </a:prstGeom>
      </xdr:spPr>
    </xdr:pic>
    <xdr:clientData/>
  </xdr:twoCellAnchor>
  <xdr:twoCellAnchor>
    <xdr:from>
      <xdr:col>0</xdr:col>
      <xdr:colOff>143590</xdr:colOff>
      <xdr:row>31</xdr:row>
      <xdr:rowOff>23383</xdr:rowOff>
    </xdr:from>
    <xdr:to>
      <xdr:col>2</xdr:col>
      <xdr:colOff>439134</xdr:colOff>
      <xdr:row>32</xdr:row>
      <xdr:rowOff>41721</xdr:rowOff>
    </xdr:to>
    <xdr:sp>
      <xdr:nvSpPr>
        <xdr:cNvPr id="188" name="Text Box 19"/>
        <xdr:cNvSpPr txBox="1"/>
      </xdr:nvSpPr>
      <xdr:spPr>
        <a:xfrm>
          <a:off x="143510" y="6033135"/>
          <a:ext cx="1495425" cy="208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b="1" i="0" u="none" strike="noStrike">
              <a:solidFill>
                <a:srgbClr val="00B05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Manpower</a:t>
          </a:r>
          <a:r>
            <a:rPr lang="en-US" sz="1200" b="1" i="0" u="none" strike="noStrike" baseline="0">
              <a:solidFill>
                <a:srgbClr val="00B05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Report</a:t>
          </a:r>
          <a:endParaRPr lang="en-US" sz="1200" b="1" i="0" u="none" strike="noStrike">
            <a:solidFill>
              <a:srgbClr val="00B05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5</xdr:col>
      <xdr:colOff>522547</xdr:colOff>
      <xdr:row>25</xdr:row>
      <xdr:rowOff>143774</xdr:rowOff>
    </xdr:from>
    <xdr:to>
      <xdr:col>8</xdr:col>
      <xdr:colOff>72473</xdr:colOff>
      <xdr:row>27</xdr:row>
      <xdr:rowOff>17972</xdr:rowOff>
    </xdr:to>
    <xdr:sp>
      <xdr:nvSpPr>
        <xdr:cNvPr id="189" name="Rounded Rectangle 7"/>
        <xdr:cNvSpPr/>
      </xdr:nvSpPr>
      <xdr:spPr>
        <a:xfrm>
          <a:off x="3522345" y="5010785"/>
          <a:ext cx="1350645" cy="25527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Sales MTD Output</a:t>
          </a:r>
          <a:endParaRPr lang="en-US" sz="1100" b="1"/>
        </a:p>
      </xdr:txBody>
    </xdr:sp>
    <xdr:clientData/>
  </xdr:twoCellAnchor>
  <xdr:twoCellAnchor>
    <xdr:from>
      <xdr:col>2</xdr:col>
      <xdr:colOff>530164</xdr:colOff>
      <xdr:row>33</xdr:row>
      <xdr:rowOff>114947</xdr:rowOff>
    </xdr:from>
    <xdr:to>
      <xdr:col>2</xdr:col>
      <xdr:colOff>530164</xdr:colOff>
      <xdr:row>37</xdr:row>
      <xdr:rowOff>150889</xdr:rowOff>
    </xdr:to>
    <xdr:cxnSp>
      <xdr:nvCxnSpPr>
        <xdr:cNvPr id="191" name="Straight Connector 190"/>
        <xdr:cNvCxnSpPr/>
      </xdr:nvCxnSpPr>
      <xdr:spPr>
        <a:xfrm>
          <a:off x="1729740" y="6506210"/>
          <a:ext cx="0" cy="797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115879</xdr:colOff>
      <xdr:row>33</xdr:row>
      <xdr:rowOff>106897</xdr:rowOff>
    </xdr:from>
    <xdr:to>
      <xdr:col>4</xdr:col>
      <xdr:colOff>115879</xdr:colOff>
      <xdr:row>37</xdr:row>
      <xdr:rowOff>142839</xdr:rowOff>
    </xdr:to>
    <xdr:cxnSp>
      <xdr:nvCxnSpPr>
        <xdr:cNvPr id="193" name="Straight Connector 192"/>
        <xdr:cNvCxnSpPr/>
      </xdr:nvCxnSpPr>
      <xdr:spPr>
        <a:xfrm>
          <a:off x="2515870" y="6497955"/>
          <a:ext cx="0" cy="797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314506</xdr:colOff>
      <xdr:row>33</xdr:row>
      <xdr:rowOff>15170</xdr:rowOff>
    </xdr:from>
    <xdr:to>
      <xdr:col>2</xdr:col>
      <xdr:colOff>584080</xdr:colOff>
      <xdr:row>35</xdr:row>
      <xdr:rowOff>140968</xdr:rowOff>
    </xdr:to>
    <xdr:sp textlink="Calculations!A34">
      <xdr:nvSpPr>
        <xdr:cNvPr id="194" name="Rounded Rectangle 7"/>
        <xdr:cNvSpPr/>
      </xdr:nvSpPr>
      <xdr:spPr>
        <a:xfrm>
          <a:off x="914400" y="6405880"/>
          <a:ext cx="869315" cy="50673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98A44336-FB07-4578-8D97-0C8F0F4E4C6D}" type="TxLink">
            <a:rPr lang="en-US" sz="1000" b="1" i="0" u="none" strike="noStrike">
              <a:solidFill>
                <a:srgbClr val="00B05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Total Manpower</a:t>
          </a:fld>
          <a:endParaRPr lang="en-US" sz="1000" b="1">
            <a:solidFill>
              <a:srgbClr val="00B050"/>
            </a:solidFill>
          </a:endParaRPr>
        </a:p>
      </xdr:txBody>
    </xdr:sp>
    <xdr:clientData/>
  </xdr:twoCellAnchor>
  <xdr:twoCellAnchor>
    <xdr:from>
      <xdr:col>1</xdr:col>
      <xdr:colOff>287547</xdr:colOff>
      <xdr:row>35</xdr:row>
      <xdr:rowOff>114010</xdr:rowOff>
    </xdr:from>
    <xdr:to>
      <xdr:col>3</xdr:col>
      <xdr:colOff>26957</xdr:colOff>
      <xdr:row>37</xdr:row>
      <xdr:rowOff>114009</xdr:rowOff>
    </xdr:to>
    <xdr:sp textlink="Calculations!B34">
      <xdr:nvSpPr>
        <xdr:cNvPr id="195" name="Rounded Rectangle 7"/>
        <xdr:cNvSpPr/>
      </xdr:nvSpPr>
      <xdr:spPr>
        <a:xfrm>
          <a:off x="887095" y="6885940"/>
          <a:ext cx="939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2B27AE38-9DDF-4FA2-879E-E993A834F6F0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248</a:t>
          </a:fld>
          <a:endParaRPr lang="en-US" sz="1400" b="1"/>
        </a:p>
      </xdr:txBody>
    </xdr:sp>
    <xdr:clientData/>
  </xdr:twoCellAnchor>
  <xdr:twoCellAnchor>
    <xdr:from>
      <xdr:col>2</xdr:col>
      <xdr:colOff>557124</xdr:colOff>
      <xdr:row>33</xdr:row>
      <xdr:rowOff>24156</xdr:rowOff>
    </xdr:from>
    <xdr:to>
      <xdr:col>4</xdr:col>
      <xdr:colOff>107830</xdr:colOff>
      <xdr:row>35</xdr:row>
      <xdr:rowOff>78068</xdr:rowOff>
    </xdr:to>
    <xdr:sp textlink="Calculations!A35">
      <xdr:nvSpPr>
        <xdr:cNvPr id="196" name="Rounded Rectangle 7"/>
        <xdr:cNvSpPr/>
      </xdr:nvSpPr>
      <xdr:spPr>
        <a:xfrm>
          <a:off x="1757045" y="6415405"/>
          <a:ext cx="750570" cy="43434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DB1FD85F-9704-4714-A593-A41F61B3DD4F}" type="TxLink">
            <a:rPr lang="en-US" sz="1100" b="1" i="0" u="none" strike="noStrike">
              <a:solidFill>
                <a:srgbClr val="00B05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Present</a:t>
          </a:fld>
          <a:endParaRPr lang="en-US" sz="900" b="1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134789</xdr:colOff>
      <xdr:row>33</xdr:row>
      <xdr:rowOff>24156</xdr:rowOff>
    </xdr:from>
    <xdr:to>
      <xdr:col>5</xdr:col>
      <xdr:colOff>287548</xdr:colOff>
      <xdr:row>35</xdr:row>
      <xdr:rowOff>78068</xdr:rowOff>
    </xdr:to>
    <xdr:sp textlink="Calculations!A36">
      <xdr:nvSpPr>
        <xdr:cNvPr id="197" name="Rounded Rectangle 7"/>
        <xdr:cNvSpPr/>
      </xdr:nvSpPr>
      <xdr:spPr>
        <a:xfrm>
          <a:off x="2534920" y="6415405"/>
          <a:ext cx="752475" cy="43434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AE61A376-0170-4600-B869-CE18EDB2FF8D}" type="TxLink">
            <a:rPr lang="en-US" sz="1100" b="1" i="0" u="none" strike="noStrike">
              <a:solidFill>
                <a:srgbClr val="00B05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Absent</a:t>
          </a:fld>
          <a:endParaRPr lang="en-US" sz="900" b="1">
            <a:solidFill>
              <a:srgbClr val="00B050"/>
            </a:solidFill>
          </a:endParaRPr>
        </a:p>
      </xdr:txBody>
    </xdr:sp>
    <xdr:clientData/>
  </xdr:twoCellAnchor>
  <xdr:twoCellAnchor>
    <xdr:from>
      <xdr:col>2</xdr:col>
      <xdr:colOff>440306</xdr:colOff>
      <xdr:row>35</xdr:row>
      <xdr:rowOff>114011</xdr:rowOff>
    </xdr:from>
    <xdr:to>
      <xdr:col>4</xdr:col>
      <xdr:colOff>179716</xdr:colOff>
      <xdr:row>37</xdr:row>
      <xdr:rowOff>114010</xdr:rowOff>
    </xdr:to>
    <xdr:sp textlink="Calculations!B35">
      <xdr:nvSpPr>
        <xdr:cNvPr id="198" name="Rounded Rectangle 7"/>
        <xdr:cNvSpPr/>
      </xdr:nvSpPr>
      <xdr:spPr>
        <a:xfrm>
          <a:off x="1640205" y="6885940"/>
          <a:ext cx="939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20B4371-97B1-4772-B689-26316F7481AD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232</a:t>
          </a:fld>
          <a:endParaRPr lang="en-US" sz="3200" b="1"/>
        </a:p>
      </xdr:txBody>
    </xdr:sp>
    <xdr:clientData/>
  </xdr:twoCellAnchor>
  <xdr:twoCellAnchor>
    <xdr:from>
      <xdr:col>4</xdr:col>
      <xdr:colOff>35943</xdr:colOff>
      <xdr:row>35</xdr:row>
      <xdr:rowOff>114011</xdr:rowOff>
    </xdr:from>
    <xdr:to>
      <xdr:col>5</xdr:col>
      <xdr:colOff>377406</xdr:colOff>
      <xdr:row>37</xdr:row>
      <xdr:rowOff>114010</xdr:rowOff>
    </xdr:to>
    <xdr:sp textlink="Calculations!B36">
      <xdr:nvSpPr>
        <xdr:cNvPr id="199" name="Rounded Rectangle 7"/>
        <xdr:cNvSpPr/>
      </xdr:nvSpPr>
      <xdr:spPr>
        <a:xfrm>
          <a:off x="2435860" y="6885940"/>
          <a:ext cx="94170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CBBD01C0-9024-4BBB-9477-FA71065B726D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16</a:t>
          </a:fld>
          <a:endParaRPr lang="en-US" sz="6000" b="1"/>
        </a:p>
      </xdr:txBody>
    </xdr:sp>
    <xdr:clientData/>
  </xdr:twoCellAnchor>
  <xdr:twoCellAnchor>
    <xdr:from>
      <xdr:col>5</xdr:col>
      <xdr:colOff>477296</xdr:colOff>
      <xdr:row>30</xdr:row>
      <xdr:rowOff>152821</xdr:rowOff>
    </xdr:from>
    <xdr:to>
      <xdr:col>11</xdr:col>
      <xdr:colOff>120316</xdr:colOff>
      <xdr:row>38</xdr:row>
      <xdr:rowOff>161749</xdr:rowOff>
    </xdr:to>
    <xdr:sp>
      <xdr:nvSpPr>
        <xdr:cNvPr id="200" name="Rounded Rectangle 1"/>
        <xdr:cNvSpPr/>
      </xdr:nvSpPr>
      <xdr:spPr>
        <a:xfrm>
          <a:off x="3477260" y="5972175"/>
          <a:ext cx="3243580" cy="1532890"/>
        </a:xfrm>
        <a:prstGeom prst="roundRect">
          <a:avLst>
            <a:gd name="adj" fmla="val 3649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270711</xdr:colOff>
      <xdr:row>30</xdr:row>
      <xdr:rowOff>143833</xdr:rowOff>
    </xdr:from>
    <xdr:to>
      <xdr:col>17</xdr:col>
      <xdr:colOff>341462</xdr:colOff>
      <xdr:row>38</xdr:row>
      <xdr:rowOff>152761</xdr:rowOff>
    </xdr:to>
    <xdr:sp>
      <xdr:nvSpPr>
        <xdr:cNvPr id="201" name="Rounded Rectangle 1"/>
        <xdr:cNvSpPr/>
      </xdr:nvSpPr>
      <xdr:spPr>
        <a:xfrm>
          <a:off x="6871335" y="5963285"/>
          <a:ext cx="3670935" cy="1532890"/>
        </a:xfrm>
        <a:prstGeom prst="roundRect">
          <a:avLst>
            <a:gd name="adj" fmla="val 3057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476067</xdr:colOff>
      <xdr:row>31</xdr:row>
      <xdr:rowOff>33409</xdr:rowOff>
    </xdr:from>
    <xdr:to>
      <xdr:col>8</xdr:col>
      <xdr:colOff>277813</xdr:colOff>
      <xdr:row>32</xdr:row>
      <xdr:rowOff>59947</xdr:rowOff>
    </xdr:to>
    <xdr:sp>
      <xdr:nvSpPr>
        <xdr:cNvPr id="202" name="Text Box 19"/>
        <xdr:cNvSpPr txBox="1"/>
      </xdr:nvSpPr>
      <xdr:spPr>
        <a:xfrm>
          <a:off x="3475990" y="6043295"/>
          <a:ext cx="1602105" cy="217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b="1" i="0" u="none" strike="noStrike">
              <a:solidFill>
                <a:schemeClr val="tx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Washing Line Report</a:t>
          </a:r>
          <a:endParaRPr lang="en-US" sz="1200" b="1" i="0" u="none" strike="noStrike">
            <a:solidFill>
              <a:schemeClr val="tx2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11</xdr:col>
      <xdr:colOff>287364</xdr:colOff>
      <xdr:row>31</xdr:row>
      <xdr:rowOff>6451</xdr:rowOff>
    </xdr:from>
    <xdr:to>
      <xdr:col>14</xdr:col>
      <xdr:colOff>128984</xdr:colOff>
      <xdr:row>32</xdr:row>
      <xdr:rowOff>59946</xdr:rowOff>
    </xdr:to>
    <xdr:sp>
      <xdr:nvSpPr>
        <xdr:cNvPr id="203" name="Text Box 19"/>
        <xdr:cNvSpPr txBox="1"/>
      </xdr:nvSpPr>
      <xdr:spPr>
        <a:xfrm>
          <a:off x="6887845" y="6016625"/>
          <a:ext cx="164211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2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Recycling Department</a:t>
          </a:r>
          <a:endParaRPr lang="en-US" sz="1200" b="1" i="0" u="none" strike="noStrike">
            <a:solidFill>
              <a:schemeClr val="accent6">
                <a:lumMod val="50000"/>
              </a:schemeClr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11</xdr:col>
      <xdr:colOff>238124</xdr:colOff>
      <xdr:row>32</xdr:row>
      <xdr:rowOff>71040</xdr:rowOff>
    </xdr:from>
    <xdr:to>
      <xdr:col>13</xdr:col>
      <xdr:colOff>119061</xdr:colOff>
      <xdr:row>38</xdr:row>
      <xdr:rowOff>11509</xdr:rowOff>
    </xdr:to>
    <xdr:pic>
      <xdr:nvPicPr>
        <xdr:cNvPr id="51" name="Graphic 50" descr="Arrow circle with solid fill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838315" y="6271260"/>
          <a:ext cx="1081405" cy="1083945"/>
        </a:xfrm>
        <a:prstGeom prst="rect">
          <a:avLst/>
        </a:prstGeom>
      </xdr:spPr>
    </xdr:pic>
    <xdr:clientData/>
  </xdr:twoCellAnchor>
  <xdr:twoCellAnchor editAs="oneCell">
    <xdr:from>
      <xdr:col>6</xdr:col>
      <xdr:colOff>30077</xdr:colOff>
      <xdr:row>33</xdr:row>
      <xdr:rowOff>20053</xdr:rowOff>
    </xdr:from>
    <xdr:to>
      <xdr:col>7</xdr:col>
      <xdr:colOff>252660</xdr:colOff>
      <xdr:row>37</xdr:row>
      <xdr:rowOff>82215</xdr:rowOff>
    </xdr:to>
    <xdr:pic>
      <xdr:nvPicPr>
        <xdr:cNvPr id="59" name="Graphic 58" descr="Transfer with solid fill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630295" y="6410960"/>
          <a:ext cx="822325" cy="824230"/>
        </a:xfrm>
        <a:prstGeom prst="rect">
          <a:avLst/>
        </a:prstGeom>
      </xdr:spPr>
    </xdr:pic>
    <xdr:clientData/>
  </xdr:twoCellAnchor>
  <xdr:twoCellAnchor>
    <xdr:from>
      <xdr:col>7</xdr:col>
      <xdr:colOff>456860</xdr:colOff>
      <xdr:row>32</xdr:row>
      <xdr:rowOff>174551</xdr:rowOff>
    </xdr:from>
    <xdr:to>
      <xdr:col>9</xdr:col>
      <xdr:colOff>140368</xdr:colOff>
      <xdr:row>35</xdr:row>
      <xdr:rowOff>160421</xdr:rowOff>
    </xdr:to>
    <xdr:sp textlink="Calculations!A38">
      <xdr:nvSpPr>
        <xdr:cNvPr id="64" name="Rounded Rectangle 7"/>
        <xdr:cNvSpPr/>
      </xdr:nvSpPr>
      <xdr:spPr>
        <a:xfrm>
          <a:off x="4657090" y="6374765"/>
          <a:ext cx="883920" cy="55753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10F1AB2B-06FF-4566-884D-EFC1391B35E2}" type="TxLink">
            <a:rPr lang="en-US" sz="1100" b="1" i="0" u="none" strike="noStrike">
              <a:solidFill>
                <a:srgbClr val="00206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 in Kgs</a:t>
          </a:fld>
          <a:endParaRPr lang="en-US" sz="9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309964</xdr:colOff>
      <xdr:row>35</xdr:row>
      <xdr:rowOff>93959</xdr:rowOff>
    </xdr:from>
    <xdr:to>
      <xdr:col>9</xdr:col>
      <xdr:colOff>210552</xdr:colOff>
      <xdr:row>37</xdr:row>
      <xdr:rowOff>93958</xdr:rowOff>
    </xdr:to>
    <xdr:sp textlink="Calculations!B38">
      <xdr:nvSpPr>
        <xdr:cNvPr id="65" name="Rounded Rectangle 7"/>
        <xdr:cNvSpPr/>
      </xdr:nvSpPr>
      <xdr:spPr>
        <a:xfrm>
          <a:off x="4510405" y="6865620"/>
          <a:ext cx="110045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3B114329-62C9-4F7D-A915-ADCAF741318A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6,000 </a:t>
          </a:fld>
          <a:endParaRPr lang="en-US" sz="6000" b="1"/>
        </a:p>
      </xdr:txBody>
    </xdr:sp>
    <xdr:clientData/>
  </xdr:twoCellAnchor>
  <xdr:twoCellAnchor>
    <xdr:from>
      <xdr:col>9</xdr:col>
      <xdr:colOff>206115</xdr:colOff>
      <xdr:row>32</xdr:row>
      <xdr:rowOff>177081</xdr:rowOff>
    </xdr:from>
    <xdr:to>
      <xdr:col>9</xdr:col>
      <xdr:colOff>206115</xdr:colOff>
      <xdr:row>37</xdr:row>
      <xdr:rowOff>22523</xdr:rowOff>
    </xdr:to>
    <xdr:cxnSp>
      <xdr:nvCxnSpPr>
        <xdr:cNvPr id="66" name="Straight Connector 65"/>
        <xdr:cNvCxnSpPr/>
      </xdr:nvCxnSpPr>
      <xdr:spPr>
        <a:xfrm>
          <a:off x="5606415" y="6377305"/>
          <a:ext cx="0" cy="7981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386675</xdr:colOff>
      <xdr:row>33</xdr:row>
      <xdr:rowOff>14130</xdr:rowOff>
    </xdr:from>
    <xdr:to>
      <xdr:col>10</xdr:col>
      <xdr:colOff>571500</xdr:colOff>
      <xdr:row>35</xdr:row>
      <xdr:rowOff>150394</xdr:rowOff>
    </xdr:to>
    <xdr:sp textlink="Calculations!A39">
      <xdr:nvSpPr>
        <xdr:cNvPr id="68" name="Rounded Rectangle 7"/>
        <xdr:cNvSpPr/>
      </xdr:nvSpPr>
      <xdr:spPr>
        <a:xfrm>
          <a:off x="5786755" y="6405245"/>
          <a:ext cx="785495" cy="51689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82669FFE-EA0C-4A21-8EF5-1DCFC3BB27EB}" type="TxLink">
            <a:rPr lang="en-US" sz="1100" b="1" i="0" u="none" strike="noStrike">
              <a:solidFill>
                <a:srgbClr val="00206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Achieved in Kgs</a:t>
          </a:fld>
          <a:endParaRPr lang="en-US" sz="900" b="1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169595</xdr:colOff>
      <xdr:row>35</xdr:row>
      <xdr:rowOff>83933</xdr:rowOff>
    </xdr:from>
    <xdr:to>
      <xdr:col>11</xdr:col>
      <xdr:colOff>110289</xdr:colOff>
      <xdr:row>37</xdr:row>
      <xdr:rowOff>83932</xdr:rowOff>
    </xdr:to>
    <xdr:sp textlink="Calculations!B39">
      <xdr:nvSpPr>
        <xdr:cNvPr id="69" name="Rounded Rectangle 7"/>
        <xdr:cNvSpPr/>
      </xdr:nvSpPr>
      <xdr:spPr>
        <a:xfrm>
          <a:off x="5570220" y="6856095"/>
          <a:ext cx="114046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FD3E262B-D605-406F-93D1-96A442DC3324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2,187 </a:t>
          </a:fld>
          <a:endParaRPr lang="en-US" sz="6000" b="1"/>
        </a:p>
      </xdr:txBody>
    </xdr:sp>
    <xdr:clientData/>
  </xdr:twoCellAnchor>
  <xdr:twoCellAnchor>
    <xdr:from>
      <xdr:col>13</xdr:col>
      <xdr:colOff>456861</xdr:colOff>
      <xdr:row>33</xdr:row>
      <xdr:rowOff>4103</xdr:rowOff>
    </xdr:from>
    <xdr:to>
      <xdr:col>15</xdr:col>
      <xdr:colOff>140369</xdr:colOff>
      <xdr:row>35</xdr:row>
      <xdr:rowOff>180473</xdr:rowOff>
    </xdr:to>
    <xdr:sp textlink="Calculations!A41">
      <xdr:nvSpPr>
        <xdr:cNvPr id="71" name="Rounded Rectangle 7"/>
        <xdr:cNvSpPr/>
      </xdr:nvSpPr>
      <xdr:spPr>
        <a:xfrm>
          <a:off x="8257540" y="6395085"/>
          <a:ext cx="883920" cy="55753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AC0D6A44-CA0C-4CB1-AA54-2107A32FAEDD}" type="TxLink"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Target in Kgs</a:t>
          </a:fld>
          <a:endParaRPr lang="en-US" sz="9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426780</xdr:colOff>
      <xdr:row>33</xdr:row>
      <xdr:rowOff>24157</xdr:rowOff>
    </xdr:from>
    <xdr:to>
      <xdr:col>17</xdr:col>
      <xdr:colOff>10025</xdr:colOff>
      <xdr:row>35</xdr:row>
      <xdr:rowOff>160421</xdr:rowOff>
    </xdr:to>
    <xdr:sp textlink="Calculations!A42">
      <xdr:nvSpPr>
        <xdr:cNvPr id="72" name="Rounded Rectangle 7"/>
        <xdr:cNvSpPr/>
      </xdr:nvSpPr>
      <xdr:spPr>
        <a:xfrm>
          <a:off x="9427845" y="6415405"/>
          <a:ext cx="782955" cy="51689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7CE49B01-B0B0-4339-993E-6614D314F8C6}" type="TxLink">
            <a:rPr lang="en-US" sz="11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Achieved in Kgs</a:t>
          </a:fld>
          <a:endParaRPr lang="en-US" sz="9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226168</xdr:colOff>
      <xdr:row>32</xdr:row>
      <xdr:rowOff>167055</xdr:rowOff>
    </xdr:from>
    <xdr:to>
      <xdr:col>15</xdr:col>
      <xdr:colOff>226168</xdr:colOff>
      <xdr:row>37</xdr:row>
      <xdr:rowOff>12497</xdr:rowOff>
    </xdr:to>
    <xdr:cxnSp>
      <xdr:nvCxnSpPr>
        <xdr:cNvPr id="76" name="Straight Connector 75"/>
        <xdr:cNvCxnSpPr/>
      </xdr:nvCxnSpPr>
      <xdr:spPr>
        <a:xfrm>
          <a:off x="9227185" y="6367780"/>
          <a:ext cx="0" cy="797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299939</xdr:colOff>
      <xdr:row>35</xdr:row>
      <xdr:rowOff>63880</xdr:rowOff>
    </xdr:from>
    <xdr:to>
      <xdr:col>15</xdr:col>
      <xdr:colOff>200527</xdr:colOff>
      <xdr:row>37</xdr:row>
      <xdr:rowOff>63879</xdr:rowOff>
    </xdr:to>
    <xdr:sp textlink="Calculations!B41">
      <xdr:nvSpPr>
        <xdr:cNvPr id="78" name="Rounded Rectangle 7"/>
        <xdr:cNvSpPr/>
      </xdr:nvSpPr>
      <xdr:spPr>
        <a:xfrm>
          <a:off x="8100695" y="6835775"/>
          <a:ext cx="110045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C9AA1E5-32F9-4217-A3B7-669B3C498B64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5,000 </a:t>
          </a:fld>
          <a:endParaRPr lang="en-US" sz="11500" b="1"/>
        </a:p>
      </xdr:txBody>
    </xdr:sp>
    <xdr:clientData/>
  </xdr:twoCellAnchor>
  <xdr:twoCellAnchor>
    <xdr:from>
      <xdr:col>15</xdr:col>
      <xdr:colOff>249805</xdr:colOff>
      <xdr:row>35</xdr:row>
      <xdr:rowOff>53854</xdr:rowOff>
    </xdr:from>
    <xdr:to>
      <xdr:col>17</xdr:col>
      <xdr:colOff>190498</xdr:colOff>
      <xdr:row>37</xdr:row>
      <xdr:rowOff>53853</xdr:rowOff>
    </xdr:to>
    <xdr:sp textlink="Calculations!B42">
      <xdr:nvSpPr>
        <xdr:cNvPr id="80" name="Rounded Rectangle 7"/>
        <xdr:cNvSpPr/>
      </xdr:nvSpPr>
      <xdr:spPr>
        <a:xfrm>
          <a:off x="9250680" y="6825615"/>
          <a:ext cx="114046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FA3151D8-A7D1-4771-A3D2-E67F225C3660}" type="TxLink">
            <a:rPr lang="en-US" sz="24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6,670 </a:t>
          </a:fld>
          <a:endParaRPr lang="en-US" sz="11500" b="1"/>
        </a:p>
      </xdr:txBody>
    </xdr:sp>
    <xdr:clientData/>
  </xdr:twoCellAnchor>
  <xdr:oneCellAnchor>
    <xdr:from>
      <xdr:col>0</xdr:col>
      <xdr:colOff>485309</xdr:colOff>
      <xdr:row>18</xdr:row>
      <xdr:rowOff>176241</xdr:rowOff>
    </xdr:from>
    <xdr:ext cx="325805" cy="242093"/>
    <xdr:sp textlink="Calculations!B43">
      <xdr:nvSpPr>
        <xdr:cNvPr id="81" name="TextBox 80"/>
        <xdr:cNvSpPr txBox="1"/>
      </xdr:nvSpPr>
      <xdr:spPr>
        <a:xfrm>
          <a:off x="485140" y="3709670"/>
          <a:ext cx="325755" cy="241935"/>
        </a:xfrm>
        <a:prstGeom prst="rect">
          <a:avLst/>
        </a:prstGeom>
        <a:noFill/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86E3F68-0D69-4263-8C0A-9EFA9354BCFF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4</a:t>
          </a:fld>
          <a:endParaRPr lang="en-US" sz="10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2</xdr:col>
      <xdr:colOff>299273</xdr:colOff>
      <xdr:row>18</xdr:row>
      <xdr:rowOff>185314</xdr:rowOff>
    </xdr:from>
    <xdr:ext cx="579784" cy="242093"/>
    <xdr:sp textlink="Calculations!B44">
      <xdr:nvSpPr>
        <xdr:cNvPr id="82" name="TextBox 81"/>
        <xdr:cNvSpPr txBox="1"/>
      </xdr:nvSpPr>
      <xdr:spPr>
        <a:xfrm>
          <a:off x="1499235" y="3718560"/>
          <a:ext cx="579755" cy="242570"/>
        </a:xfrm>
        <a:prstGeom prst="rect">
          <a:avLst/>
        </a:prstGeom>
        <a:noFill/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702A3C0-A4D5-4ADE-A216-57F737C33A31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3:12</a:t>
          </a:fld>
          <a:endParaRPr lang="en-US" sz="9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oneCellAnchor>
    <xdr:from>
      <xdr:col>4</xdr:col>
      <xdr:colOff>271771</xdr:colOff>
      <xdr:row>18</xdr:row>
      <xdr:rowOff>178521</xdr:rowOff>
    </xdr:from>
    <xdr:ext cx="341658" cy="242093"/>
    <xdr:sp textlink="Calculations!B45">
      <xdr:nvSpPr>
        <xdr:cNvPr id="83" name="TextBox 82"/>
        <xdr:cNvSpPr txBox="1"/>
      </xdr:nvSpPr>
      <xdr:spPr>
        <a:xfrm>
          <a:off x="2671445" y="3712210"/>
          <a:ext cx="342265" cy="241935"/>
        </a:xfrm>
        <a:prstGeom prst="rect">
          <a:avLst/>
        </a:prstGeom>
        <a:noFill/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E8D9AFC-14D3-4567-8717-9DF2DA182E6F}" type="TxLink">
            <a:rPr lang="en-US" sz="18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4</a:t>
          </a:fld>
          <a:endParaRPr lang="en-US" sz="10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twoCellAnchor>
    <xdr:from>
      <xdr:col>14</xdr:col>
      <xdr:colOff>429259</xdr:colOff>
      <xdr:row>0</xdr:row>
      <xdr:rowOff>0</xdr:rowOff>
    </xdr:from>
    <xdr:to>
      <xdr:col>17</xdr:col>
      <xdr:colOff>466725</xdr:colOff>
      <xdr:row>0</xdr:row>
      <xdr:rowOff>257175</xdr:rowOff>
    </xdr:to>
    <xdr:sp>
      <xdr:nvSpPr>
        <xdr:cNvPr id="166" name="Rounded Rectangle 8"/>
        <xdr:cNvSpPr/>
      </xdr:nvSpPr>
      <xdr:spPr>
        <a:xfrm>
          <a:off x="8829675" y="0"/>
          <a:ext cx="1838325" cy="257175"/>
        </a:xfrm>
        <a:prstGeom prst="roundRect">
          <a:avLst/>
        </a:prstGeom>
        <a:ln>
          <a:noFill/>
        </a:ln>
        <a:effectLst>
          <a:reflection blurRad="6350" stA="52000" endA="300" endPos="35000" dir="5400000" sy="-100000" algn="bl" rotWithShape="0"/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DATE:</a:t>
          </a:r>
          <a:r>
            <a:rPr lang="en-US" sz="1400" baseline="0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27th May, 2026</a:t>
          </a:r>
          <a:endParaRPr lang="en-US" sz="1400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oneCellAnchor>
    <xdr:from>
      <xdr:col>3</xdr:col>
      <xdr:colOff>318587</xdr:colOff>
      <xdr:row>21</xdr:row>
      <xdr:rowOff>163088</xdr:rowOff>
    </xdr:from>
    <xdr:ext cx="1118374" cy="240834"/>
    <xdr:sp>
      <xdr:nvSpPr>
        <xdr:cNvPr id="17" name="TextBox 16"/>
        <xdr:cNvSpPr txBox="1"/>
      </xdr:nvSpPr>
      <xdr:spPr>
        <a:xfrm>
          <a:off x="2118360" y="4267835"/>
          <a:ext cx="1118235" cy="241300"/>
        </a:xfrm>
        <a:prstGeom prst="rect">
          <a:avLst/>
        </a:prstGeom>
        <a:solidFill>
          <a:srgbClr val="002060"/>
        </a:solidFill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6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MACHINE &amp;</a:t>
          </a:r>
          <a:r>
            <a:rPr lang="en-US" sz="600" b="1" i="0" u="none" strike="noStrike" baseline="0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UTILITIES (PPM)</a:t>
          </a:r>
          <a:endParaRPr lang="en-US" sz="600" b="1" i="0" u="none" strike="noStrike">
            <a:solidFill>
              <a:schemeClr val="bg1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oneCellAnchor>
  <xdr:twoCellAnchor>
    <xdr:from>
      <xdr:col>0</xdr:col>
      <xdr:colOff>28575</xdr:colOff>
      <xdr:row>38</xdr:row>
      <xdr:rowOff>161925</xdr:rowOff>
    </xdr:from>
    <xdr:to>
      <xdr:col>4</xdr:col>
      <xdr:colOff>380366</xdr:colOff>
      <xdr:row>40</xdr:row>
      <xdr:rowOff>38100</xdr:rowOff>
    </xdr:to>
    <xdr:sp>
      <xdr:nvSpPr>
        <xdr:cNvPr id="40" name="Rounded Rectangle 8"/>
        <xdr:cNvSpPr/>
      </xdr:nvSpPr>
      <xdr:spPr>
        <a:xfrm>
          <a:off x="28575" y="7505700"/>
          <a:ext cx="2752090" cy="257175"/>
        </a:xfrm>
        <a:prstGeom prst="roundRect">
          <a:avLst/>
        </a:prstGeom>
        <a:ln>
          <a:noFill/>
        </a:ln>
        <a:effectLst>
          <a:reflection blurRad="6350" stA="52000" endA="300" endPos="35000" dir="5400000" sy="-100000" algn="bl" rotWithShape="0"/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Prepared By:</a:t>
          </a:r>
          <a:r>
            <a:rPr lang="en-US" sz="1200" baseline="0"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Isaac Ayomide</a:t>
          </a:r>
          <a:endParaRPr lang="en-US" sz="1200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61.7275658565" refreshedBy="NEC" recordCount="58">
  <cacheSource type="worksheet">
    <worksheetSource name="tbl_raw_production"/>
  </cacheSource>
  <cacheFields count="6">
    <cacheField name="Date" numFmtId="182"/>
    <cacheField name="Department" numFmtId="0">
      <sharedItems count="11">
        <s v="LI"/>
        <s v="MI"/>
        <s v="HT"/>
        <s v="IBM"/>
        <s v="TFM"/>
        <s v="Blow"/>
        <s v="IBM Section" u="1"/>
        <s v="Modern Injection" u="1"/>
        <s v="Hi-Tech" u="1"/>
        <s v="Blow Section" u="1"/>
        <s v="Large Injection" u="1"/>
      </sharedItems>
    </cacheField>
    <cacheField name="Machine" numFmtId="0"/>
    <cacheField name="Target In Kgs" numFmtId="178"/>
    <cacheField name="Achieved in Kgs" numFmtId="178"/>
    <cacheField name="Var %" numFmtId="9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d v="2026-05-18T00:00:00"/>
    <x v="0"/>
    <s v="LI-40-HT-600"/>
    <n v="1140"/>
    <n v="856.68"/>
    <n v="0.75147368421052629"/>
  </r>
  <r>
    <d v="2026-05-18T00:00:00"/>
    <x v="0"/>
    <s v="LI-41-HXM-630"/>
    <n v="1659"/>
    <n v="1024.32"/>
    <n v="0.61743218806509947"/>
  </r>
  <r>
    <d v="2026-05-18T00:00:00"/>
    <x v="0"/>
    <s v="LI-42-HT-700"/>
    <n v="3486"/>
    <n v="2884.2"/>
    <n v="0.82736660929432004"/>
  </r>
  <r>
    <d v="2026-05-18T00:00:00"/>
    <x v="0"/>
    <s v="LI-43-OM-910"/>
    <n v="3388"/>
    <n v="1933.7550000000001"/>
    <n v="0.57076593860684777"/>
  </r>
  <r>
    <d v="2026-05-18T00:00:00"/>
    <x v="0"/>
    <s v="LI-44-HXM-830"/>
    <n v="2222"/>
    <n v="1109.7"/>
    <n v="0.49941494149414944"/>
  </r>
  <r>
    <d v="2026-05-18T00:00:00"/>
    <x v="0"/>
    <s v="LI-45-HT-1000"/>
    <n v="3613"/>
    <n v="3629.4"/>
    <n v="1.0045391641295323"/>
  </r>
  <r>
    <d v="2026-05-18T00:00:00"/>
    <x v="0"/>
    <s v="LI-46-HT-1000"/>
    <n v="3486"/>
    <n v="3362.6"/>
    <n v="0.96460126219162357"/>
  </r>
  <r>
    <d v="2026-05-18T00:00:00"/>
    <x v="0"/>
    <s v="LI-47-HXM-1100"/>
    <n v="2052"/>
    <n v="1854.4"/>
    <n v="0.90370370370370379"/>
  </r>
  <r>
    <d v="2026-05-18T00:00:00"/>
    <x v="1"/>
    <s v="MI-01-HT-86"/>
    <n v="103"/>
    <n v="130.75800000000001"/>
    <n v="1.2694951456310681"/>
  </r>
  <r>
    <d v="2026-05-18T00:00:00"/>
    <x v="1"/>
    <s v="MI-02-HT-86"/>
    <n v="92"/>
    <n v="3.7757999999999998"/>
    <n v="4.1041304347826088E-2"/>
  </r>
  <r>
    <d v="2026-05-18T00:00:00"/>
    <x v="1"/>
    <s v="MI-02-HT-86"/>
    <n v="55"/>
    <n v="54.264000000000003"/>
    <n v="0.98661818181818184"/>
  </r>
  <r>
    <d v="2026-05-18T00:00:00"/>
    <x v="1"/>
    <s v="MI-03-FU-110"/>
    <n v="221"/>
    <n v="174.8"/>
    <n v="0.79095022624434397"/>
  </r>
  <r>
    <d v="2026-05-18T00:00:00"/>
    <x v="1"/>
    <s v="MI-04-FU-110"/>
    <n v="194"/>
    <n v="87.66"/>
    <n v="0.45185567010309274"/>
  </r>
  <r>
    <d v="2026-05-18T00:00:00"/>
    <x v="1"/>
    <s v="MI-05-HT-120"/>
    <n v="106"/>
    <n v="64.908000000000001"/>
    <n v="0.61233962264150943"/>
  </r>
  <r>
    <d v="2026-05-18T00:00:00"/>
    <x v="1"/>
    <s v="MI-06-HT-120"/>
    <n v="139"/>
    <n v="176.291"/>
    <n v="1.2682805755395683"/>
  </r>
  <r>
    <d v="2026-05-18T00:00:00"/>
    <x v="1"/>
    <s v="MI-07-HT-120"/>
    <n v="202"/>
    <n v="146.86000000000001"/>
    <n v="0.72702970297029712"/>
  </r>
  <r>
    <d v="2026-05-18T00:00:00"/>
    <x v="1"/>
    <s v="MI-08-FU-150"/>
    <n v="173"/>
    <n v="176.31800000000001"/>
    <n v="1.0191791907514451"/>
  </r>
  <r>
    <d v="2026-05-18T00:00:00"/>
    <x v="1"/>
    <s v="MI-09-FU-150"/>
    <n v="228"/>
    <n v="144.55000000000001"/>
    <n v="0.63399122807017549"/>
  </r>
  <r>
    <d v="2026-05-18T00:00:00"/>
    <x v="1"/>
    <s v="MI-10-HT-160"/>
    <n v="320"/>
    <n v="272.09800000000001"/>
    <n v="0.85030625000000004"/>
  </r>
  <r>
    <d v="2026-05-18T00:00:00"/>
    <x v="1"/>
    <s v="MI-11-HT-160"/>
    <n v="279"/>
    <n v="104.916"/>
    <n v="0.37604301075268814"/>
  </r>
  <r>
    <d v="2026-05-18T00:00:00"/>
    <x v="1"/>
    <s v="MI-11-HT-160"/>
    <n v="232"/>
    <n v="62.845999999999997"/>
    <n v="0.27088793103448272"/>
  </r>
  <r>
    <d v="2026-05-18T00:00:00"/>
    <x v="1"/>
    <s v="MI-12-HT-160"/>
    <n v="216"/>
    <n v="47.28"/>
    <n v="0.21888888888888888"/>
  </r>
  <r>
    <d v="2026-05-18T00:00:00"/>
    <x v="1"/>
    <s v="MI-12-HT-160"/>
    <n v="232"/>
    <n v="48.976999999999997"/>
    <n v="0.21110775862068965"/>
  </r>
  <r>
    <d v="2026-05-18T00:00:00"/>
    <x v="1"/>
    <s v="MI-12-HT-160"/>
    <n v="137"/>
    <n v="32.025599999999997"/>
    <n v="0.23376350364963502"/>
  </r>
  <r>
    <d v="2026-05-18T00:00:00"/>
    <x v="1"/>
    <s v="MI-13-FU-180"/>
    <n v="346"/>
    <n v="230.714"/>
    <n v="0.66680346820809244"/>
  </r>
  <r>
    <d v="2026-05-18T00:00:00"/>
    <x v="1"/>
    <s v="MI-15-HT-200"/>
    <n v="497"/>
    <n v="390.42500000000001"/>
    <n v="0.78556338028169015"/>
  </r>
  <r>
    <d v="2026-05-18T00:00:00"/>
    <x v="1"/>
    <s v="MI-16-HT-200"/>
    <n v="573"/>
    <n v="264.60000000000002"/>
    <n v="0.46178010471204195"/>
  </r>
  <r>
    <d v="2026-05-18T00:00:00"/>
    <x v="1"/>
    <s v="MI-17-HT-200"/>
    <n v="830"/>
    <n v="262.09500000000003"/>
    <n v="0.31577710843373497"/>
  </r>
  <r>
    <d v="2026-05-18T00:00:00"/>
    <x v="1"/>
    <s v="MI-18-HT-250"/>
    <n v="411"/>
    <n v="134.946"/>
    <n v="0.32833576642335766"/>
  </r>
  <r>
    <d v="2026-05-18T00:00:00"/>
    <x v="1"/>
    <s v="MI-19-HT-250"/>
    <n v="728"/>
    <n v="266.04599999999999"/>
    <n v="0.36544780219780221"/>
  </r>
  <r>
    <d v="2026-05-18T00:00:00"/>
    <x v="1"/>
    <s v="MI-20-FU-280"/>
    <n v="739"/>
    <n v="544.39"/>
    <n v="0.73665764546684709"/>
  </r>
  <r>
    <d v="2026-05-18T00:00:00"/>
    <x v="1"/>
    <s v="MI-21-HT-300"/>
    <n v="798"/>
    <n v="406.3"/>
    <n v="0.50914786967418546"/>
  </r>
  <r>
    <d v="2026-05-18T00:00:00"/>
    <x v="1"/>
    <s v="MI-22-HT-300"/>
    <n v="605"/>
    <n v="408.13499999999999"/>
    <n v="0.67460330578512395"/>
  </r>
  <r>
    <d v="2026-05-18T00:00:00"/>
    <x v="1"/>
    <s v="MI-23-HT-300"/>
    <n v="1348"/>
    <n v="597.48"/>
    <n v="0.4432344213649852"/>
  </r>
  <r>
    <d v="2026-05-18T00:00:00"/>
    <x v="1"/>
    <s v="MI-24-OM-350"/>
    <n v="984"/>
    <n v="449.77"/>
    <n v="0.45708333333333334"/>
  </r>
  <r>
    <d v="2026-05-18T00:00:00"/>
    <x v="1"/>
    <s v="MI-25-OM-350"/>
    <n v="1061"/>
    <n v="257.14"/>
    <n v="0.24235626767200752"/>
  </r>
  <r>
    <d v="2026-05-18T00:00:00"/>
    <x v="1"/>
    <s v="MI-26-OM-450"/>
    <n v="1048"/>
    <n v="507.79500000000002"/>
    <n v="0.48453721374045805"/>
  </r>
  <r>
    <d v="2026-05-18T00:00:00"/>
    <x v="2"/>
    <s v="HT-27-HT-270"/>
    <n v="180"/>
    <n v="181.89599999999999"/>
    <n v="1.0105333333333333"/>
  </r>
  <r>
    <d v="2026-05-18T00:00:00"/>
    <x v="2"/>
    <s v="HT-28-HT-270"/>
    <n v="650"/>
    <n v="63.167999999999999"/>
    <n v="9.7181538461538458E-2"/>
  </r>
  <r>
    <d v="2026-05-18T00:00:00"/>
    <x v="2"/>
    <s v="HT-28-HT-270"/>
    <n v="305"/>
    <n v="201.01"/>
    <n v="0.65904918032786886"/>
  </r>
  <r>
    <d v="2026-05-18T00:00:00"/>
    <x v="2"/>
    <s v="HT-29-HT-270"/>
    <n v="461"/>
    <n v="388.80540000000002"/>
    <n v="0.84339566160520607"/>
  </r>
  <r>
    <d v="2026-05-18T00:00:00"/>
    <x v="2"/>
    <s v="HT-30-HT-270"/>
    <n v="494"/>
    <n v="156.76"/>
    <n v="0.31732793522267205"/>
  </r>
  <r>
    <d v="2026-05-18T00:00:00"/>
    <x v="2"/>
    <s v="HT-31-HT-270"/>
    <n v="657"/>
    <n v="482.79"/>
    <n v="0.7348401826484019"/>
  </r>
  <r>
    <d v="2026-05-18T00:00:00"/>
    <x v="2"/>
    <s v="HT-32-FERO-275"/>
    <n v="728"/>
    <n v="839.27499999999998"/>
    <n v="1.1528502747252747"/>
  </r>
  <r>
    <d v="2026-05-18T00:00:00"/>
    <x v="2"/>
    <s v="HT-34-FERO-200"/>
    <n v="422"/>
    <n v="135.16800000000001"/>
    <n v="0.32030331753554503"/>
  </r>
  <r>
    <d v="2026-05-18T00:00:00"/>
    <x v="2"/>
    <s v="HT-35-HXH-260"/>
    <n v="480"/>
    <n v="208.42500000000001"/>
    <n v="0.43421875000000004"/>
  </r>
  <r>
    <d v="2026-05-18T00:00:00"/>
    <x v="2"/>
    <s v="HT-36-HXH-260"/>
    <n v="688"/>
    <n v="567.38499999999999"/>
    <n v="0.82468750000000002"/>
  </r>
  <r>
    <d v="2026-05-18T00:00:00"/>
    <x v="2"/>
    <s v="HT-37-HXH-260"/>
    <n v="280"/>
    <n v="156.07929999999999"/>
    <n v="0.55742607142857137"/>
  </r>
  <r>
    <d v="2026-05-18T00:00:00"/>
    <x v="2"/>
    <s v="HT-38-HXH-260"/>
    <n v="240"/>
    <n v="204.03200000000001"/>
    <n v="0.85013333333333341"/>
  </r>
  <r>
    <d v="2026-05-18T00:00:00"/>
    <x v="2"/>
    <s v="HT-39-HXH-260"/>
    <n v="220"/>
    <n v="202.27199999999999"/>
    <n v="0.9194181818181818"/>
  </r>
  <r>
    <d v="2026-05-18T00:00:00"/>
    <x v="3"/>
    <s v="HT-48-IBM-50A"/>
    <n v="373"/>
    <n v="343.2"/>
    <n v="0.92010723860589805"/>
  </r>
  <r>
    <d v="2026-05-18T00:00:00"/>
    <x v="3"/>
    <s v="HT-49-IBM-50B"/>
    <n v="436"/>
    <n v="343.75"/>
    <n v="0.7884174311926605"/>
  </r>
  <r>
    <d v="2026-05-18T00:00:00"/>
    <x v="3"/>
    <s v="HT-50-IBM-50C"/>
    <s v="-"/>
    <s v="-"/>
    <s v="-"/>
  </r>
  <r>
    <d v="2026-05-18T00:00:00"/>
    <x v="3"/>
    <s v="HT-51-IBM-50D"/>
    <n v="448"/>
    <n v="448.286"/>
    <n v="1.000638392857143"/>
  </r>
  <r>
    <d v="2026-05-18T00:00:00"/>
    <x v="4"/>
    <s v="TFM-1"/>
    <n v="507"/>
    <n v="654.72"/>
    <n v="1.2913609467455622"/>
  </r>
  <r>
    <d v="2026-05-18T00:00:00"/>
    <x v="4"/>
    <s v="TFM-2"/>
    <n v="1806"/>
    <n v="1584.6"/>
    <n v="0.87740863787375412"/>
  </r>
  <r>
    <d v="2026-05-18T00:00:00"/>
    <x v="5"/>
    <s v="BL-JM-5ltr"/>
    <n v="819"/>
    <n v="63.655999999999999"/>
    <n v="7.7724053724053721E-2"/>
  </r>
  <r>
    <d v="2026-05-18T00:00:00"/>
    <x v="5"/>
    <s v="BL-JM-15ltr"/>
    <n v="469"/>
    <n v="211.9"/>
    <n v="0.45181236673773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6">
  <location ref="A3:C10" firstHeaderRow="0" firstDataRow="1" firstDataCol="1"/>
  <pivotFields count="6">
    <pivotField numFmtId="182" showAll="0"/>
    <pivotField axis="axisRow" sortType="descending" showAll="0">
      <items count="12">
        <item x="4"/>
        <item m="1" x="7"/>
        <item x="1"/>
        <item x="0"/>
        <item m="1" x="10"/>
        <item m="1" x="6"/>
        <item x="3"/>
        <item x="2"/>
        <item m="1" x="8"/>
        <item m="1" x="9"/>
        <item x="5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2"/>
    </i>
    <i>
      <x v="3"/>
    </i>
    <i>
      <x v="6"/>
    </i>
    <i>
      <x v="7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 In Kgs" fld="3" baseField="1" baseItem="0"/>
    <dataField name="Sum of Achieved in Kgs" fld="4" baseField="1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_raw_production" displayName="tbl_raw_production" ref="A2:F60">
  <autoFilter xmlns:etc="http://www.wps.cn/officeDocument/2017/etCustomData" ref="A2:F60" etc:filterBottomFollowUsedRange="0"/>
  <tableColumns count="6">
    <tableColumn id="1" name="Date" dataDxfId="1"/>
    <tableColumn id="5" name="Department" dataDxfId="2"/>
    <tableColumn id="7" name="Machine" dataDxfId="3"/>
    <tableColumn id="3" name="Target In Kgs" dataDxfId="4"/>
    <tableColumn id="4" name="Achieved in Kgs" dataDxfId="5"/>
    <tableColumn id="2" name="Var %" dataDxfId="6">
      <calculatedColumnFormula>IFERROR(E3/D3,"-")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bl_raw_sales" displayName="tbl_raw_sales" ref="A2:G300">
  <autoFilter xmlns:etc="http://www.wps.cn/officeDocument/2017/etCustomData" ref="A2:G300" etc:filterBottomFollowUsedRange="0"/>
  <tableColumns count="7">
    <tableColumn id="1" name="Date" dataDxfId="7"/>
    <tableColumn id="2" name="Product Name" dataDxfId="8"/>
    <tableColumn id="5" name="Prod WT." dataDxfId="9">
      <calculatedColumnFormula>_xlfn.XLOOKUP(B3,'Prod FG'!B:B,'Prod FG'!C:C,"-")</calculatedColumnFormula>
    </tableColumn>
    <tableColumn id="6" name="Produced Qty" dataDxfId="10"/>
    <tableColumn id="7" name="Produced Kgs" dataDxfId="11">
      <calculatedColumnFormula>IFERROR(D3*C3,"-")</calculatedColumnFormula>
    </tableColumn>
    <tableColumn id="3" name="Sales Qty" dataDxfId="12"/>
    <tableColumn id="4" name="Sales Kgs" dataDxfId="13">
      <calculatedColumnFormula>IFERROR(F3*C3,"-")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6" name="tbl_raw_sales7" displayName="tbl_raw_sales7" ref="A3:F129">
  <autoFilter xmlns:etc="http://www.wps.cn/officeDocument/2017/etCustomData" ref="A3:F129" etc:filterBottomFollowUsedRange="0"/>
  <tableColumns count="6">
    <tableColumn id="1" name="Date" dataDxfId="14"/>
    <tableColumn id="2" name="Product Name" dataDxfId="15"/>
    <tableColumn id="5" name="Prod WT." dataDxfId="16">
      <calculatedColumnFormula>_xlfn.XLOOKUP(B4,'Prod FG'!B:B,'Prod FG'!C:C,"-")</calculatedColumnFormula>
    </tableColumn>
    <tableColumn id="6" name="Category" dataDxfId="17"/>
    <tableColumn id="3" name="Sales Qty" dataDxfId="18"/>
    <tableColumn id="4" name="Sales Kgs" dataDxfId="19">
      <calculatedColumnFormula>IFERROR(E4*C4,"-")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2" name="tbl_raw_downtime" displayName="tbl_raw_downtime" ref="A2:D100">
  <autoFilter xmlns:etc="http://www.wps.cn/officeDocument/2017/etCustomData" ref="A2:D100" etc:filterBottomFollowUsedRange="0"/>
  <tableColumns count="4">
    <tableColumn id="1" name="Date" dataDxfId="20"/>
    <tableColumn id="2" name="Mold/Machine"/>
    <tableColumn id="3" name="Reason"/>
    <tableColumn id="4" name="Duration (hrs)" dataDxfId="2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bl_raw_inventory" displayName="tbl_raw_inventory" ref="A2:F95">
  <autoFilter xmlns:etc="http://www.wps.cn/officeDocument/2017/etCustomData" ref="A2:F95" etc:filterBottomFollowUsedRange="0"/>
  <sortState ref="A2:F95">
    <sortCondition ref="F3:F95" descending="1"/>
  </sortState>
  <tableColumns count="6">
    <tableColumn id="1" name="Date" dataDxfId="22"/>
    <tableColumn id="2" name="Item" dataDxfId="23"/>
    <tableColumn id="4" name="Opening in Kgs" dataDxfId="24"/>
    <tableColumn id="5" name="Inward in Kgs" dataDxfId="25"/>
    <tableColumn id="6" name="Outward in Kgs" dataDxfId="26"/>
    <tableColumn id="7" name="Closing in Kgs" dataDxfId="2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5" name="tbl_raw_manpower" displayName="tbl_raw_manpower" ref="A2:E14">
  <autoFilter xmlns:etc="http://www.wps.cn/officeDocument/2017/etCustomData" ref="A2:E14" etc:filterBottomFollowUsedRange="0"/>
  <tableColumns count="5">
    <tableColumn id="1" name="Date"/>
    <tableColumn id="2" name="Department"/>
    <tableColumn id="3" name="Target Headcount"/>
    <tableColumn id="4" name="Present"/>
    <tableColumn id="5" name="Absent" dataDxfId="28">
      <calculatedColumnFormula>IFERROR(tbl_raw_manpower[[#This Row],[Target Headcount]]-tbl_raw_manpower[[#This Row],[Present]],"-")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U8" sqref="U8"/>
    </sheetView>
  </sheetViews>
  <sheetFormatPr defaultColWidth="9" defaultRowHeight="15"/>
  <sheetData>
    <row r="1" ht="23.25" customHeight="1" spans="1:1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6" spans="1:17">
      <c r="A6" t="s">
        <v>0</v>
      </c>
    </row>
    <row r="20" spans="1:1">
      <c r="A20" t="s">
        <v>1</v>
      </c>
    </row>
    <row r="35" spans="1:1">
      <c r="A35" t="s">
        <v>2</v>
      </c>
    </row>
  </sheetData>
  <sheetProtection algorithmName="SHA-512" hashValue="0Y6UAVDBwWzP+R5/zVAmLR0tOPRtDLEgAKRpGf6ETl0PV0eHG8bwabOa+yOeGS3PVEF6MpuMpVAdio4yR4HX8A==" saltValue="YkwAjRMWu5ZqPAdu1OJ1GQ==" spinCount="100000" sheet="1" objects="1"/>
  <pageMargins left="0.75" right="0.75" top="1" bottom="1" header="0.5" footer="0.5"/>
  <pageSetup paperSize="9" scale="7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opLeftCell="A112" workbookViewId="0">
      <selection activeCell="A3" sqref="A3:A128"/>
    </sheetView>
  </sheetViews>
  <sheetFormatPr defaultColWidth="9" defaultRowHeight="15"/>
  <cols>
    <col min="1" max="1" width="11.5714285714286" customWidth="1"/>
    <col min="2" max="2" width="46.5714285714286" customWidth="1"/>
    <col min="3" max="3" width="12.8571428571429" customWidth="1"/>
    <col min="4" max="4" width="9.71428571428571" customWidth="1"/>
    <col min="5" max="5" width="10.7142857142857" customWidth="1"/>
    <col min="6" max="6" width="11" customWidth="1"/>
    <col min="11" max="11" width="11" customWidth="1"/>
  </cols>
  <sheetData>
    <row r="1" s="7" customFormat="1" ht="20.1" customHeight="1" spans="1:13">
      <c r="A1" s="22">
        <f ca="1">TODAY()-1</f>
        <v>46169</v>
      </c>
      <c r="C1" s="62"/>
      <c r="D1" s="62"/>
      <c r="E1" s="63"/>
      <c r="F1" s="64">
        <f ca="1">SUMIF(A3:A128,A1,F3:F128)</f>
        <v>389028.68096</v>
      </c>
      <c r="M1"/>
    </row>
    <row r="2" spans="1:13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</row>
    <row r="3" ht="20.1" customHeight="1" spans="1:13">
      <c r="A3" s="65">
        <v>46169</v>
      </c>
      <c r="B3" s="35" t="s">
        <v>9</v>
      </c>
      <c r="C3" s="35" t="s">
        <v>10</v>
      </c>
      <c r="D3" s="35">
        <v>0.3905</v>
      </c>
      <c r="E3" s="36">
        <v>2183.96</v>
      </c>
      <c r="F3" s="66">
        <v>852.83638</v>
      </c>
    </row>
    <row r="4" ht="20.1" customHeight="1" spans="1:13">
      <c r="A4" s="65">
        <v>46169</v>
      </c>
      <c r="B4" s="35" t="s">
        <v>11</v>
      </c>
      <c r="C4" s="35" t="s">
        <v>10</v>
      </c>
      <c r="D4" s="35">
        <v>0.4788</v>
      </c>
      <c r="E4" s="36">
        <v>8153</v>
      </c>
      <c r="F4" s="66">
        <v>3903.6564</v>
      </c>
      <c r="J4" s="67" t="s">
        <v>12</v>
      </c>
      <c r="K4" s="38">
        <f>SUMIF(C2:C127,J4,F2:F127)</f>
        <v>250085.88066</v>
      </c>
    </row>
    <row r="5" ht="20.1" customHeight="1" spans="1:13">
      <c r="A5" s="65">
        <v>46169</v>
      </c>
      <c r="B5" s="35" t="s">
        <v>13</v>
      </c>
      <c r="C5" s="35" t="s">
        <v>10</v>
      </c>
      <c r="D5" s="35">
        <v>0.6475</v>
      </c>
      <c r="E5" s="36">
        <v>9750</v>
      </c>
      <c r="F5" s="66">
        <v>6313.125</v>
      </c>
      <c r="J5" s="67" t="s">
        <v>10</v>
      </c>
      <c r="K5" s="38">
        <f>SUMIF(C4:C129,J5,F4:F129)</f>
        <v>87973.63192</v>
      </c>
    </row>
    <row r="6" ht="20.1" customHeight="1" spans="1:13">
      <c r="A6" s="65">
        <v>46169</v>
      </c>
      <c r="B6" s="35" t="s">
        <v>14</v>
      </c>
      <c r="C6" s="35" t="s">
        <v>12</v>
      </c>
      <c r="D6" s="35">
        <v>0.3685</v>
      </c>
      <c r="E6" s="36" t="s">
        <v>15</v>
      </c>
      <c r="F6" s="66" t="s">
        <v>15</v>
      </c>
      <c r="J6" s="67" t="s">
        <v>16</v>
      </c>
      <c r="K6" s="38">
        <f>SUMIF(C3:C128,J6,F3:F128)</f>
        <v>50116.332</v>
      </c>
    </row>
    <row r="7" ht="20.1" customHeight="1" spans="1:13">
      <c r="A7" s="65">
        <v>46169</v>
      </c>
      <c r="B7" s="35" t="s">
        <v>17</v>
      </c>
      <c r="C7" s="35" t="s">
        <v>12</v>
      </c>
      <c r="D7" s="35">
        <v>0.232</v>
      </c>
      <c r="E7" s="36" t="s">
        <v>15</v>
      </c>
      <c r="F7" s="66" t="s">
        <v>15</v>
      </c>
    </row>
    <row r="8" ht="20.1" customHeight="1" spans="1:13">
      <c r="A8" s="65">
        <v>46169</v>
      </c>
      <c r="B8" s="35" t="s">
        <v>18</v>
      </c>
      <c r="C8" s="35" t="s">
        <v>10</v>
      </c>
      <c r="D8" s="35">
        <v>2.155</v>
      </c>
      <c r="E8" s="36">
        <v>6</v>
      </c>
      <c r="F8" s="66">
        <v>12.93</v>
      </c>
    </row>
    <row r="9" ht="20.1" customHeight="1" spans="1:13">
      <c r="A9" s="65">
        <v>46169</v>
      </c>
      <c r="B9" s="35" t="s">
        <v>19</v>
      </c>
      <c r="C9" s="35" t="s">
        <v>10</v>
      </c>
      <c r="D9" s="35">
        <v>3.05</v>
      </c>
      <c r="E9" s="36">
        <v>45</v>
      </c>
      <c r="F9" s="66">
        <v>137.25</v>
      </c>
    </row>
    <row r="10" ht="20.1" customHeight="1" spans="1:13">
      <c r="A10" s="65">
        <v>46169</v>
      </c>
      <c r="B10" s="35" t="s">
        <v>20</v>
      </c>
      <c r="C10" s="35" t="s">
        <v>12</v>
      </c>
      <c r="D10" s="35">
        <v>1.35</v>
      </c>
      <c r="E10" s="36">
        <v>157</v>
      </c>
      <c r="F10" s="66">
        <v>211.95</v>
      </c>
    </row>
    <row r="11" ht="20.1" customHeight="1" spans="1:13">
      <c r="A11" s="65">
        <v>46169</v>
      </c>
      <c r="B11" s="35" t="s">
        <v>21</v>
      </c>
      <c r="C11" s="35" t="s">
        <v>12</v>
      </c>
      <c r="D11" s="35">
        <v>0.88</v>
      </c>
      <c r="E11" s="36">
        <v>4609</v>
      </c>
      <c r="F11" s="66">
        <v>4055.92</v>
      </c>
    </row>
    <row r="12" ht="20.1" customHeight="1" spans="1:13">
      <c r="A12" s="65">
        <v>46169</v>
      </c>
      <c r="B12" s="35" t="s">
        <v>22</v>
      </c>
      <c r="C12" s="35" t="s">
        <v>12</v>
      </c>
      <c r="D12" s="35">
        <v>0.58</v>
      </c>
      <c r="E12" s="36">
        <v>11085.48</v>
      </c>
      <c r="F12" s="66">
        <v>6429.5784</v>
      </c>
    </row>
    <row r="13" ht="20.1" customHeight="1" spans="1:13">
      <c r="A13" s="65">
        <v>46169</v>
      </c>
      <c r="B13" s="35" t="s">
        <v>23</v>
      </c>
      <c r="C13" s="35" t="s">
        <v>12</v>
      </c>
      <c r="D13" s="35">
        <v>0.27</v>
      </c>
      <c r="E13" s="36">
        <v>3520</v>
      </c>
      <c r="F13" s="66">
        <v>950.4</v>
      </c>
    </row>
    <row r="14" ht="20.1" customHeight="1" spans="1:13">
      <c r="A14" s="65">
        <v>46169</v>
      </c>
      <c r="B14" s="35" t="s">
        <v>24</v>
      </c>
      <c r="C14" s="35" t="s">
        <v>12</v>
      </c>
      <c r="D14" s="35">
        <v>0.385</v>
      </c>
      <c r="E14" s="36">
        <v>1418</v>
      </c>
      <c r="F14" s="66">
        <v>545.93</v>
      </c>
    </row>
    <row r="15" ht="20.1" customHeight="1" spans="1:13">
      <c r="A15" s="65">
        <v>46169</v>
      </c>
      <c r="B15" s="35" t="s">
        <v>25</v>
      </c>
      <c r="C15" s="35" t="s">
        <v>10</v>
      </c>
      <c r="D15" s="35">
        <v>1.5</v>
      </c>
      <c r="E15" s="36">
        <v>5435</v>
      </c>
      <c r="F15" s="66">
        <v>8152.5</v>
      </c>
    </row>
    <row r="16" ht="20.1" customHeight="1" spans="1:13">
      <c r="A16" s="65">
        <v>46169</v>
      </c>
      <c r="B16" s="35" t="s">
        <v>26</v>
      </c>
      <c r="C16" s="35" t="s">
        <v>10</v>
      </c>
      <c r="D16" s="35">
        <v>0.904</v>
      </c>
      <c r="E16" s="36">
        <v>2696</v>
      </c>
      <c r="F16" s="66">
        <v>2437.184</v>
      </c>
    </row>
    <row r="17" ht="20.1" customHeight="1" spans="1:6">
      <c r="A17" s="65">
        <v>46169</v>
      </c>
      <c r="B17" s="35" t="s">
        <v>27</v>
      </c>
      <c r="C17" s="35" t="s">
        <v>10</v>
      </c>
      <c r="D17" s="35">
        <v>0.409</v>
      </c>
      <c r="E17" s="36">
        <v>7656</v>
      </c>
      <c r="F17" s="66">
        <v>3131.304</v>
      </c>
    </row>
    <row r="18" ht="20.1" customHeight="1" spans="1:6">
      <c r="A18" s="65">
        <v>46169</v>
      </c>
      <c r="B18" s="35" t="s">
        <v>28</v>
      </c>
      <c r="C18" s="35" t="s">
        <v>10</v>
      </c>
      <c r="D18" s="35">
        <v>0.806</v>
      </c>
      <c r="E18" s="36">
        <v>4781.16</v>
      </c>
      <c r="F18" s="66">
        <v>3853.61496</v>
      </c>
    </row>
    <row r="19" ht="20.1" customHeight="1" spans="1:6">
      <c r="A19" s="65">
        <v>46169</v>
      </c>
      <c r="B19" s="35" t="s">
        <v>29</v>
      </c>
      <c r="C19" s="35" t="s">
        <v>10</v>
      </c>
      <c r="D19" s="35">
        <v>0.424</v>
      </c>
      <c r="E19" s="36">
        <v>261</v>
      </c>
      <c r="F19" s="66">
        <v>110.664</v>
      </c>
    </row>
    <row r="20" ht="20.1" customHeight="1" spans="1:6">
      <c r="A20" s="65">
        <v>46169</v>
      </c>
      <c r="B20" s="35" t="s">
        <v>30</v>
      </c>
      <c r="C20" s="35" t="s">
        <v>10</v>
      </c>
      <c r="D20" s="35">
        <v>0.2565</v>
      </c>
      <c r="E20" s="36">
        <v>10165</v>
      </c>
      <c r="F20" s="66">
        <v>2607.3225</v>
      </c>
    </row>
    <row r="21" ht="20.1" customHeight="1" spans="1:6">
      <c r="A21" s="65">
        <v>46169</v>
      </c>
      <c r="B21" s="35" t="s">
        <v>31</v>
      </c>
      <c r="C21" s="35" t="s">
        <v>10</v>
      </c>
      <c r="D21" s="35">
        <v>1.5</v>
      </c>
      <c r="E21" s="36">
        <v>1620</v>
      </c>
      <c r="F21" s="66">
        <v>2430</v>
      </c>
    </row>
    <row r="22" ht="20.1" customHeight="1" spans="1:6">
      <c r="A22" s="65">
        <v>46169</v>
      </c>
      <c r="B22" s="35" t="s">
        <v>32</v>
      </c>
      <c r="C22" s="35" t="s">
        <v>12</v>
      </c>
      <c r="D22" s="35">
        <v>0.886</v>
      </c>
      <c r="E22" s="36">
        <v>3720</v>
      </c>
      <c r="F22" s="66">
        <v>3295.92</v>
      </c>
    </row>
    <row r="23" ht="20.1" customHeight="1" spans="1:6">
      <c r="A23" s="65">
        <v>46169</v>
      </c>
      <c r="B23" s="35" t="s">
        <v>33</v>
      </c>
      <c r="C23" s="35" t="s">
        <v>12</v>
      </c>
      <c r="D23" s="35">
        <v>2.225</v>
      </c>
      <c r="E23" s="36">
        <v>1238</v>
      </c>
      <c r="F23" s="66">
        <v>2754.55</v>
      </c>
    </row>
    <row r="24" ht="20.1" customHeight="1" spans="1:6">
      <c r="A24" s="65">
        <v>46169</v>
      </c>
      <c r="B24" s="35" t="s">
        <v>34</v>
      </c>
      <c r="C24" s="35" t="s">
        <v>12</v>
      </c>
      <c r="D24" s="35">
        <v>2.3</v>
      </c>
      <c r="E24" s="36">
        <v>16884</v>
      </c>
      <c r="F24" s="66">
        <v>38833.2</v>
      </c>
    </row>
    <row r="25" ht="20.1" customHeight="1" spans="1:6">
      <c r="A25" s="65">
        <v>46169</v>
      </c>
      <c r="B25" s="35" t="s">
        <v>35</v>
      </c>
      <c r="C25" s="35" t="s">
        <v>12</v>
      </c>
      <c r="D25" s="35">
        <v>2.3</v>
      </c>
      <c r="E25" s="36">
        <v>8594</v>
      </c>
      <c r="F25" s="66">
        <v>19766.2</v>
      </c>
    </row>
    <row r="26" ht="20.1" customHeight="1" spans="1:6">
      <c r="A26" s="65">
        <v>46169</v>
      </c>
      <c r="B26" s="35" t="s">
        <v>36</v>
      </c>
      <c r="C26" s="35" t="s">
        <v>10</v>
      </c>
      <c r="D26" s="35">
        <v>2.3</v>
      </c>
      <c r="E26" s="36">
        <v>1004</v>
      </c>
      <c r="F26" s="66">
        <v>2309.2</v>
      </c>
    </row>
    <row r="27" ht="20.1" customHeight="1" spans="1:6">
      <c r="A27" s="65">
        <v>46169</v>
      </c>
      <c r="B27" s="35" t="s">
        <v>37</v>
      </c>
      <c r="C27" s="35" t="s">
        <v>10</v>
      </c>
      <c r="D27" s="35">
        <v>0.75</v>
      </c>
      <c r="E27" s="36">
        <v>0</v>
      </c>
      <c r="F27" s="66">
        <v>0</v>
      </c>
    </row>
    <row r="28" ht="20.1" customHeight="1" spans="1:6">
      <c r="A28" s="65">
        <v>46169</v>
      </c>
      <c r="B28" s="35" t="s">
        <v>38</v>
      </c>
      <c r="C28" s="35" t="s">
        <v>10</v>
      </c>
      <c r="D28" s="35">
        <v>1.97</v>
      </c>
      <c r="E28" s="36">
        <v>501</v>
      </c>
      <c r="F28" s="66">
        <v>986.97</v>
      </c>
    </row>
    <row r="29" ht="20.1" customHeight="1" spans="1:6">
      <c r="A29" s="65">
        <v>46169</v>
      </c>
      <c r="B29" s="35" t="s">
        <v>39</v>
      </c>
      <c r="C29" s="35" t="s">
        <v>10</v>
      </c>
      <c r="D29" s="35">
        <v>1.8</v>
      </c>
      <c r="E29" s="36">
        <v>403</v>
      </c>
      <c r="F29" s="66">
        <v>725.4</v>
      </c>
    </row>
    <row r="30" ht="20.1" customHeight="1" spans="1:6">
      <c r="A30" s="65">
        <v>46169</v>
      </c>
      <c r="B30" s="35" t="s">
        <v>40</v>
      </c>
      <c r="C30" s="35" t="s">
        <v>12</v>
      </c>
      <c r="D30" s="35">
        <v>1.605</v>
      </c>
      <c r="E30" s="36">
        <v>14104</v>
      </c>
      <c r="F30" s="66">
        <v>22636.92</v>
      </c>
    </row>
    <row r="31" ht="20.1" customHeight="1" spans="1:6">
      <c r="A31" s="65">
        <v>46169</v>
      </c>
      <c r="B31" s="35" t="s">
        <v>41</v>
      </c>
      <c r="C31" s="35" t="s">
        <v>12</v>
      </c>
      <c r="D31" s="35">
        <v>1.74</v>
      </c>
      <c r="E31" s="36">
        <v>6382</v>
      </c>
      <c r="F31" s="66">
        <v>11104.68</v>
      </c>
    </row>
    <row r="32" ht="20.1" customHeight="1" spans="1:6">
      <c r="A32" s="65">
        <v>46169</v>
      </c>
      <c r="B32" s="35" t="s">
        <v>42</v>
      </c>
      <c r="C32" s="35" t="s">
        <v>10</v>
      </c>
      <c r="D32" s="35">
        <v>2.665</v>
      </c>
      <c r="E32" s="36">
        <v>0</v>
      </c>
      <c r="F32" s="66">
        <v>0</v>
      </c>
    </row>
    <row r="33" ht="20.1" customHeight="1" spans="1:6">
      <c r="A33" s="65">
        <v>46169</v>
      </c>
      <c r="B33" s="35" t="s">
        <v>43</v>
      </c>
      <c r="C33" s="35" t="s">
        <v>10</v>
      </c>
      <c r="D33" s="35">
        <v>3.9834</v>
      </c>
      <c r="E33" s="36">
        <v>314</v>
      </c>
      <c r="F33" s="66">
        <v>1250.7876</v>
      </c>
    </row>
    <row r="34" ht="20.1" customHeight="1" spans="1:6">
      <c r="A34" s="65">
        <v>46169</v>
      </c>
      <c r="B34" s="35" t="s">
        <v>44</v>
      </c>
      <c r="C34" s="35" t="s">
        <v>10</v>
      </c>
      <c r="D34" s="35">
        <v>4.8965</v>
      </c>
      <c r="E34" s="36">
        <v>2</v>
      </c>
      <c r="F34" s="66">
        <v>9.793</v>
      </c>
    </row>
    <row r="35" ht="20.1" customHeight="1" spans="1:6">
      <c r="A35" s="65">
        <v>46169</v>
      </c>
      <c r="B35" s="35" t="s">
        <v>45</v>
      </c>
      <c r="C35" s="35" t="s">
        <v>10</v>
      </c>
      <c r="D35" s="35">
        <v>0.898</v>
      </c>
      <c r="E35" s="36">
        <v>13</v>
      </c>
      <c r="F35" s="66">
        <v>11.674</v>
      </c>
    </row>
    <row r="36" ht="20.1" customHeight="1" spans="1:6">
      <c r="A36" s="65">
        <v>46169</v>
      </c>
      <c r="B36" s="35" t="s">
        <v>46</v>
      </c>
      <c r="C36" s="35" t="s">
        <v>10</v>
      </c>
      <c r="D36" s="35">
        <v>2.3079</v>
      </c>
      <c r="E36" s="36">
        <v>344</v>
      </c>
      <c r="F36" s="66">
        <v>793.9176</v>
      </c>
    </row>
    <row r="37" ht="20.1" customHeight="1" spans="1:6">
      <c r="A37" s="65">
        <v>46169</v>
      </c>
      <c r="B37" s="35" t="s">
        <v>47</v>
      </c>
      <c r="C37" s="35" t="s">
        <v>10</v>
      </c>
      <c r="D37" s="35">
        <v>2.359</v>
      </c>
      <c r="E37" s="36">
        <v>1938</v>
      </c>
      <c r="F37" s="66">
        <v>4571.742</v>
      </c>
    </row>
    <row r="38" ht="20.1" customHeight="1" spans="1:6">
      <c r="A38" s="65">
        <v>46169</v>
      </c>
      <c r="B38" s="35" t="s">
        <v>48</v>
      </c>
      <c r="C38" s="35" t="s">
        <v>12</v>
      </c>
      <c r="D38" s="35">
        <v>5.707</v>
      </c>
      <c r="E38" s="36">
        <v>4191</v>
      </c>
      <c r="F38" s="66">
        <v>23918.037</v>
      </c>
    </row>
    <row r="39" ht="20.1" customHeight="1" spans="1:6">
      <c r="A39" s="65">
        <v>46169</v>
      </c>
      <c r="B39" s="35" t="s">
        <v>49</v>
      </c>
      <c r="C39" s="35" t="s">
        <v>12</v>
      </c>
      <c r="D39" s="35">
        <v>4.5244</v>
      </c>
      <c r="E39" s="36">
        <v>1411</v>
      </c>
      <c r="F39" s="66">
        <v>6383.9284</v>
      </c>
    </row>
    <row r="40" ht="20.1" customHeight="1" spans="1:6">
      <c r="A40" s="65">
        <v>46169</v>
      </c>
      <c r="B40" s="35" t="s">
        <v>50</v>
      </c>
      <c r="C40" s="35" t="s">
        <v>12</v>
      </c>
      <c r="D40" s="35">
        <v>3.865</v>
      </c>
      <c r="E40" s="36">
        <v>3708</v>
      </c>
      <c r="F40" s="66">
        <v>14331.42</v>
      </c>
    </row>
    <row r="41" ht="20.1" customHeight="1" spans="1:6">
      <c r="A41" s="65">
        <v>46169</v>
      </c>
      <c r="B41" s="35" t="s">
        <v>51</v>
      </c>
      <c r="C41" s="35" t="s">
        <v>12</v>
      </c>
      <c r="D41" s="35">
        <v>3.1</v>
      </c>
      <c r="E41" s="36">
        <v>0</v>
      </c>
      <c r="F41" s="66">
        <v>0</v>
      </c>
    </row>
    <row r="42" ht="20.1" customHeight="1" spans="1:6">
      <c r="A42" s="65">
        <v>46169</v>
      </c>
      <c r="B42" s="35" t="s">
        <v>52</v>
      </c>
      <c r="C42" s="35" t="s">
        <v>12</v>
      </c>
      <c r="D42" s="35">
        <v>2.368</v>
      </c>
      <c r="E42" s="36">
        <v>4015</v>
      </c>
      <c r="F42" s="66">
        <v>9507.52</v>
      </c>
    </row>
    <row r="43" ht="20.1" customHeight="1" spans="1:6">
      <c r="A43" s="65">
        <v>46169</v>
      </c>
      <c r="B43" s="35" t="s">
        <v>53</v>
      </c>
      <c r="C43" s="35" t="s">
        <v>12</v>
      </c>
      <c r="D43" s="35">
        <v>1.704</v>
      </c>
      <c r="E43" s="36">
        <v>7915</v>
      </c>
      <c r="F43" s="66">
        <v>13487.16</v>
      </c>
    </row>
    <row r="44" ht="20.1" customHeight="1" spans="1:6">
      <c r="A44" s="65">
        <v>46169</v>
      </c>
      <c r="B44" s="35" t="s">
        <v>54</v>
      </c>
      <c r="C44" s="35" t="s">
        <v>12</v>
      </c>
      <c r="D44" s="35">
        <v>1.28</v>
      </c>
      <c r="E44" s="36">
        <v>2221</v>
      </c>
      <c r="F44" s="66">
        <v>2842.88</v>
      </c>
    </row>
    <row r="45" ht="20.1" customHeight="1" spans="1:6">
      <c r="A45" s="65">
        <v>46169</v>
      </c>
      <c r="B45" s="35" t="s">
        <v>55</v>
      </c>
      <c r="C45" s="35" t="s">
        <v>12</v>
      </c>
      <c r="D45" s="35">
        <v>0.93</v>
      </c>
      <c r="E45" s="36">
        <v>12336</v>
      </c>
      <c r="F45" s="66">
        <v>11472.48</v>
      </c>
    </row>
    <row r="46" ht="20.1" customHeight="1" spans="1:6">
      <c r="A46" s="65">
        <v>46169</v>
      </c>
      <c r="B46" s="35" t="s">
        <v>56</v>
      </c>
      <c r="C46" s="35" t="s">
        <v>12</v>
      </c>
      <c r="D46" s="35">
        <v>0.305</v>
      </c>
      <c r="E46" s="36">
        <v>8991.8</v>
      </c>
      <c r="F46" s="66">
        <v>2742.499</v>
      </c>
    </row>
    <row r="47" ht="20.1" customHeight="1" spans="1:6">
      <c r="A47" s="65">
        <v>46169</v>
      </c>
      <c r="B47" s="35" t="s">
        <v>57</v>
      </c>
      <c r="C47" s="35" t="s">
        <v>12</v>
      </c>
      <c r="D47" s="35">
        <v>0.173</v>
      </c>
      <c r="E47" s="36">
        <v>3762.92</v>
      </c>
      <c r="F47" s="66">
        <v>650.98516</v>
      </c>
    </row>
    <row r="48" ht="20.1" customHeight="1" spans="1:6">
      <c r="A48" s="65">
        <v>46169</v>
      </c>
      <c r="B48" s="35" t="s">
        <v>58</v>
      </c>
      <c r="C48" s="35" t="s">
        <v>12</v>
      </c>
      <c r="D48" s="35">
        <v>2.4</v>
      </c>
      <c r="E48" s="36">
        <v>4313</v>
      </c>
      <c r="F48" s="66">
        <v>10351.2</v>
      </c>
    </row>
    <row r="49" ht="20.1" customHeight="1" spans="1:6">
      <c r="A49" s="65">
        <v>46169</v>
      </c>
      <c r="B49" s="35" t="s">
        <v>59</v>
      </c>
      <c r="C49" s="35" t="s">
        <v>12</v>
      </c>
      <c r="D49" s="35">
        <v>0.383</v>
      </c>
      <c r="E49" s="36">
        <v>5100</v>
      </c>
      <c r="F49" s="66">
        <v>1953.3</v>
      </c>
    </row>
    <row r="50" ht="20.1" customHeight="1" spans="1:6">
      <c r="A50" s="65">
        <v>46169</v>
      </c>
      <c r="B50" s="35" t="s">
        <v>60</v>
      </c>
      <c r="C50" s="35" t="s">
        <v>12</v>
      </c>
      <c r="D50" s="35">
        <v>3.55</v>
      </c>
      <c r="E50" s="36">
        <v>4359</v>
      </c>
      <c r="F50" s="66">
        <v>15474.45</v>
      </c>
    </row>
    <row r="51" ht="20.1" customHeight="1" spans="1:6">
      <c r="A51" s="65">
        <v>46169</v>
      </c>
      <c r="B51" s="35" t="s">
        <v>61</v>
      </c>
      <c r="C51" s="35" t="s">
        <v>12</v>
      </c>
      <c r="D51" s="35">
        <v>0.735</v>
      </c>
      <c r="E51" s="36">
        <v>8311</v>
      </c>
      <c r="F51" s="66">
        <v>6108.585</v>
      </c>
    </row>
    <row r="52" ht="20.1" customHeight="1" spans="1:6">
      <c r="A52" s="65">
        <v>46169</v>
      </c>
      <c r="B52" s="35" t="s">
        <v>62</v>
      </c>
      <c r="C52" s="35" t="s">
        <v>10</v>
      </c>
      <c r="D52" s="35">
        <v>0.0385</v>
      </c>
      <c r="E52" s="36">
        <v>1800</v>
      </c>
      <c r="F52" s="66">
        <v>69.3</v>
      </c>
    </row>
    <row r="53" ht="20.1" customHeight="1" spans="1:6">
      <c r="A53" s="65">
        <v>46169</v>
      </c>
      <c r="B53" s="35" t="s">
        <v>63</v>
      </c>
      <c r="C53" s="35" t="s">
        <v>10</v>
      </c>
      <c r="D53" s="35">
        <v>0.672</v>
      </c>
      <c r="E53" s="36">
        <v>2250</v>
      </c>
      <c r="F53" s="66">
        <v>1512</v>
      </c>
    </row>
    <row r="54" ht="20.1" customHeight="1" spans="1:6">
      <c r="A54" s="65">
        <v>46169</v>
      </c>
      <c r="B54" s="35" t="s">
        <v>64</v>
      </c>
      <c r="C54" s="35" t="s">
        <v>10</v>
      </c>
      <c r="D54" s="35">
        <v>0.002</v>
      </c>
      <c r="E54" s="36">
        <v>1419000</v>
      </c>
      <c r="F54" s="66">
        <v>2838</v>
      </c>
    </row>
    <row r="55" ht="20.1" customHeight="1" spans="1:6">
      <c r="A55" s="65">
        <v>46169</v>
      </c>
      <c r="B55" s="35" t="s">
        <v>65</v>
      </c>
      <c r="C55" s="35" t="s">
        <v>12</v>
      </c>
      <c r="D55" s="35">
        <v>0.05</v>
      </c>
      <c r="E55" s="36">
        <v>33936</v>
      </c>
      <c r="F55" s="66">
        <v>1696.8</v>
      </c>
    </row>
    <row r="56" ht="20.1" customHeight="1" spans="1:6">
      <c r="A56" s="65">
        <v>46169</v>
      </c>
      <c r="B56" s="35" t="s">
        <v>66</v>
      </c>
      <c r="C56" s="35" t="s">
        <v>10</v>
      </c>
      <c r="D56" s="35">
        <v>0.031</v>
      </c>
      <c r="E56" s="36">
        <v>16380</v>
      </c>
      <c r="F56" s="66">
        <v>507.78</v>
      </c>
    </row>
    <row r="57" ht="20.1" customHeight="1" spans="1:6">
      <c r="A57" s="65">
        <v>46169</v>
      </c>
      <c r="B57" s="35" t="s">
        <v>67</v>
      </c>
      <c r="C57" s="35" t="s">
        <v>12</v>
      </c>
      <c r="D57" s="35">
        <v>0.1888</v>
      </c>
      <c r="E57" s="36">
        <v>7200</v>
      </c>
      <c r="F57" s="66">
        <v>1359.36</v>
      </c>
    </row>
    <row r="58" ht="20.1" customHeight="1" spans="1:6">
      <c r="A58" s="65">
        <v>46169</v>
      </c>
      <c r="B58" s="35" t="s">
        <v>68</v>
      </c>
      <c r="C58" s="35" t="s">
        <v>12</v>
      </c>
      <c r="D58" s="35">
        <v>0.05</v>
      </c>
      <c r="E58" s="36">
        <v>24912</v>
      </c>
      <c r="F58" s="66">
        <v>1245.6</v>
      </c>
    </row>
    <row r="59" ht="20.1" customHeight="1" spans="1:6">
      <c r="A59" s="65">
        <v>46169</v>
      </c>
      <c r="B59" s="35" t="s">
        <v>69</v>
      </c>
      <c r="C59" s="35" t="s">
        <v>10</v>
      </c>
      <c r="D59" s="35">
        <v>0.057</v>
      </c>
      <c r="E59" s="36">
        <v>13317.84</v>
      </c>
      <c r="F59" s="66">
        <v>759.11688</v>
      </c>
    </row>
    <row r="60" ht="20.1" customHeight="1" spans="1:6">
      <c r="A60" s="65">
        <v>46169</v>
      </c>
      <c r="B60" s="35" t="s">
        <v>70</v>
      </c>
      <c r="C60" s="35" t="s">
        <v>12</v>
      </c>
      <c r="D60" s="35">
        <v>1.54</v>
      </c>
      <c r="E60" s="36">
        <v>2706</v>
      </c>
      <c r="F60" s="66">
        <v>4167.24</v>
      </c>
    </row>
    <row r="61" ht="20.1" customHeight="1" spans="1:6">
      <c r="A61" s="65">
        <v>46169</v>
      </c>
      <c r="B61" s="35" t="s">
        <v>71</v>
      </c>
      <c r="C61" s="35" t="s">
        <v>10</v>
      </c>
      <c r="D61" s="35">
        <v>0.047</v>
      </c>
      <c r="E61" s="36">
        <v>49160</v>
      </c>
      <c r="F61" s="66">
        <v>2310.52</v>
      </c>
    </row>
    <row r="62" ht="20.1" customHeight="1" spans="1:6">
      <c r="A62" s="65">
        <v>46169</v>
      </c>
      <c r="B62" s="35" t="s">
        <v>72</v>
      </c>
      <c r="C62" s="35" t="s">
        <v>12</v>
      </c>
      <c r="D62" s="35">
        <v>0.043</v>
      </c>
      <c r="E62" s="36">
        <v>18864</v>
      </c>
      <c r="F62" s="66">
        <v>811.152</v>
      </c>
    </row>
    <row r="63" ht="20.1" customHeight="1" spans="1:6">
      <c r="A63" s="65">
        <v>46169</v>
      </c>
      <c r="B63" s="35" t="s">
        <v>73</v>
      </c>
      <c r="C63" s="35" t="s">
        <v>10</v>
      </c>
      <c r="D63" s="35">
        <v>0.136</v>
      </c>
      <c r="E63" s="36">
        <v>11676</v>
      </c>
      <c r="F63" s="66">
        <v>1587.936</v>
      </c>
    </row>
    <row r="64" ht="20.1" customHeight="1" spans="1:6">
      <c r="A64" s="65">
        <v>46169</v>
      </c>
      <c r="B64" s="35" t="s">
        <v>74</v>
      </c>
      <c r="C64" s="35" t="s">
        <v>10</v>
      </c>
      <c r="D64" s="35">
        <v>0.224</v>
      </c>
      <c r="E64" s="36">
        <v>936</v>
      </c>
      <c r="F64" s="66">
        <v>209.664</v>
      </c>
    </row>
    <row r="65" ht="20.1" customHeight="1" spans="1:6">
      <c r="A65" s="65">
        <v>46169</v>
      </c>
      <c r="B65" s="35" t="s">
        <v>75</v>
      </c>
      <c r="C65" s="35" t="s">
        <v>10</v>
      </c>
      <c r="D65" s="35">
        <v>0.224</v>
      </c>
      <c r="E65" s="36">
        <v>7212.04</v>
      </c>
      <c r="F65" s="66">
        <v>1615.49696</v>
      </c>
    </row>
    <row r="66" ht="20.1" customHeight="1" spans="1:6">
      <c r="A66" s="65">
        <v>46169</v>
      </c>
      <c r="B66" s="35" t="s">
        <v>76</v>
      </c>
      <c r="C66" s="35" t="s">
        <v>10</v>
      </c>
      <c r="D66" s="35">
        <v>0.246</v>
      </c>
      <c r="E66" s="36">
        <v>152.12</v>
      </c>
      <c r="F66" s="66">
        <v>37.42152</v>
      </c>
    </row>
    <row r="67" ht="20.1" customHeight="1" spans="1:6">
      <c r="A67" s="65">
        <v>46169</v>
      </c>
      <c r="B67" s="35" t="s">
        <v>77</v>
      </c>
      <c r="C67" s="35" t="s">
        <v>10</v>
      </c>
      <c r="D67" s="35">
        <v>0.088</v>
      </c>
      <c r="E67" s="36">
        <v>11604.04</v>
      </c>
      <c r="F67" s="66">
        <v>1021.15552</v>
      </c>
    </row>
    <row r="68" ht="20.1" customHeight="1" spans="1:6">
      <c r="A68" s="65">
        <v>46169</v>
      </c>
      <c r="B68" s="35" t="s">
        <v>78</v>
      </c>
      <c r="C68" s="35" t="s">
        <v>10</v>
      </c>
      <c r="D68" s="35">
        <v>0.0222</v>
      </c>
      <c r="E68" s="36">
        <v>167200</v>
      </c>
      <c r="F68" s="66">
        <v>3711.84</v>
      </c>
    </row>
    <row r="69" ht="20.1" customHeight="1" spans="1:6">
      <c r="A69" s="65">
        <v>46169</v>
      </c>
      <c r="B69" s="35" t="s">
        <v>79</v>
      </c>
      <c r="C69" s="35" t="s">
        <v>10</v>
      </c>
      <c r="D69" s="35">
        <v>1.282</v>
      </c>
      <c r="E69" s="36">
        <v>0</v>
      </c>
      <c r="F69" s="66">
        <v>0</v>
      </c>
    </row>
    <row r="70" ht="20.1" customHeight="1" spans="1:6">
      <c r="A70" s="65">
        <v>46169</v>
      </c>
      <c r="B70" s="35" t="s">
        <v>80</v>
      </c>
      <c r="C70" s="35" t="s">
        <v>10</v>
      </c>
      <c r="D70" s="35">
        <v>0.032</v>
      </c>
      <c r="E70" s="36">
        <v>5040</v>
      </c>
      <c r="F70" s="66">
        <v>161.28</v>
      </c>
    </row>
    <row r="71" ht="20.1" customHeight="1" spans="1:6">
      <c r="A71" s="65">
        <v>46169</v>
      </c>
      <c r="B71" s="35" t="s">
        <v>81</v>
      </c>
      <c r="C71" s="35" t="s">
        <v>10</v>
      </c>
      <c r="D71" s="35">
        <v>0.692</v>
      </c>
      <c r="E71" s="36">
        <v>744</v>
      </c>
      <c r="F71" s="66">
        <v>514.848</v>
      </c>
    </row>
    <row r="72" ht="20.1" customHeight="1" spans="1:6">
      <c r="A72" s="65">
        <v>46169</v>
      </c>
      <c r="B72" s="35" t="s">
        <v>82</v>
      </c>
      <c r="C72" s="35" t="s">
        <v>10</v>
      </c>
      <c r="D72" s="35">
        <v>0.0893</v>
      </c>
      <c r="E72" s="36">
        <v>2496</v>
      </c>
      <c r="F72" s="66">
        <v>222.8928</v>
      </c>
    </row>
    <row r="73" ht="20.1" customHeight="1" spans="1:6">
      <c r="A73" s="65">
        <v>46169</v>
      </c>
      <c r="B73" s="35" t="s">
        <v>83</v>
      </c>
      <c r="C73" s="35" t="s">
        <v>10</v>
      </c>
      <c r="D73" s="35">
        <v>1.4535</v>
      </c>
      <c r="E73" s="36">
        <v>847</v>
      </c>
      <c r="F73" s="66">
        <v>1231.1145</v>
      </c>
    </row>
    <row r="74" ht="20.1" customHeight="1" spans="1:6">
      <c r="A74" s="65">
        <v>46169</v>
      </c>
      <c r="B74" s="35" t="s">
        <v>84</v>
      </c>
      <c r="C74" s="35" t="s">
        <v>10</v>
      </c>
      <c r="D74" s="35">
        <v>0.225</v>
      </c>
      <c r="E74" s="36">
        <v>1850</v>
      </c>
      <c r="F74" s="66">
        <v>416.25</v>
      </c>
    </row>
    <row r="75" ht="20.1" customHeight="1" spans="1:6">
      <c r="A75" s="65">
        <v>46169</v>
      </c>
      <c r="B75" s="35" t="s">
        <v>85</v>
      </c>
      <c r="C75" s="35" t="s">
        <v>10</v>
      </c>
      <c r="D75" s="35">
        <v>0.445</v>
      </c>
      <c r="E75" s="36">
        <v>0</v>
      </c>
      <c r="F75" s="66">
        <v>0</v>
      </c>
    </row>
    <row r="76" ht="20.1" customHeight="1" spans="1:6">
      <c r="A76" s="65">
        <v>46169</v>
      </c>
      <c r="B76" s="35" t="s">
        <v>86</v>
      </c>
      <c r="C76" s="35" t="s">
        <v>10</v>
      </c>
      <c r="D76" s="35">
        <v>0.1022</v>
      </c>
      <c r="E76" s="36">
        <v>3878</v>
      </c>
      <c r="F76" s="66">
        <v>396.3316</v>
      </c>
    </row>
    <row r="77" ht="20.1" customHeight="1" spans="1:6">
      <c r="A77" s="65">
        <v>46169</v>
      </c>
      <c r="B77" s="35" t="s">
        <v>87</v>
      </c>
      <c r="C77" s="35" t="s">
        <v>12</v>
      </c>
      <c r="D77" s="35">
        <v>0.582</v>
      </c>
      <c r="E77" s="36">
        <v>651</v>
      </c>
      <c r="F77" s="66">
        <v>378.882</v>
      </c>
    </row>
    <row r="78" ht="20.1" customHeight="1" spans="1:6">
      <c r="A78" s="65">
        <v>46169</v>
      </c>
      <c r="B78" s="35" t="s">
        <v>88</v>
      </c>
      <c r="C78" s="35" t="s">
        <v>10</v>
      </c>
      <c r="D78" s="35">
        <v>0.378</v>
      </c>
      <c r="E78" s="36">
        <v>4387.08</v>
      </c>
      <c r="F78" s="66">
        <v>1658.31624</v>
      </c>
    </row>
    <row r="79" ht="20.1" customHeight="1" spans="1:6">
      <c r="A79" s="65">
        <v>46169</v>
      </c>
      <c r="B79" s="35" t="s">
        <v>89</v>
      </c>
      <c r="C79" s="35" t="s">
        <v>10</v>
      </c>
      <c r="D79" s="35">
        <v>0.276</v>
      </c>
      <c r="E79" s="36">
        <v>15827</v>
      </c>
      <c r="F79" s="66">
        <v>4368.252</v>
      </c>
    </row>
    <row r="80" ht="20.1" customHeight="1" spans="1:6">
      <c r="A80" s="65">
        <v>46169</v>
      </c>
      <c r="B80" s="35" t="s">
        <v>90</v>
      </c>
      <c r="C80" s="35" t="s">
        <v>10</v>
      </c>
      <c r="D80" s="35">
        <v>0.183</v>
      </c>
      <c r="E80" s="36">
        <v>19475</v>
      </c>
      <c r="F80" s="66">
        <v>3563.925</v>
      </c>
    </row>
    <row r="81" ht="20.1" customHeight="1" spans="1:6">
      <c r="A81" s="65">
        <v>46169</v>
      </c>
      <c r="B81" s="35" t="s">
        <v>91</v>
      </c>
      <c r="C81" s="35" t="s">
        <v>10</v>
      </c>
      <c r="D81" s="35">
        <v>0.09</v>
      </c>
      <c r="E81" s="36">
        <v>21640.04</v>
      </c>
      <c r="F81" s="66">
        <v>1947.6036</v>
      </c>
    </row>
    <row r="82" ht="20.1" customHeight="1" spans="1:6">
      <c r="A82" s="65">
        <v>46169</v>
      </c>
      <c r="B82" s="35" t="s">
        <v>92</v>
      </c>
      <c r="C82" s="35" t="s">
        <v>10</v>
      </c>
      <c r="D82" s="35">
        <v>0.378</v>
      </c>
      <c r="E82" s="36">
        <v>6129.08</v>
      </c>
      <c r="F82" s="66">
        <v>2316.79224</v>
      </c>
    </row>
    <row r="83" ht="20.1" customHeight="1" spans="1:6">
      <c r="A83" s="65">
        <v>46169</v>
      </c>
      <c r="B83" s="35" t="s">
        <v>93</v>
      </c>
      <c r="C83" s="35" t="s">
        <v>10</v>
      </c>
      <c r="D83" s="35">
        <v>0.278</v>
      </c>
      <c r="E83" s="36">
        <v>5207</v>
      </c>
      <c r="F83" s="66">
        <v>1447.546</v>
      </c>
    </row>
    <row r="84" ht="20.1" customHeight="1" spans="1:6">
      <c r="A84" s="65">
        <v>46169</v>
      </c>
      <c r="B84" s="35" t="s">
        <v>94</v>
      </c>
      <c r="C84" s="35" t="s">
        <v>10</v>
      </c>
      <c r="D84" s="35">
        <v>0.183</v>
      </c>
      <c r="E84" s="36">
        <v>2327</v>
      </c>
      <c r="F84" s="66">
        <v>425.841</v>
      </c>
    </row>
    <row r="85" ht="20.1" customHeight="1" spans="1:6">
      <c r="A85" s="65">
        <v>46169</v>
      </c>
      <c r="B85" s="35" t="s">
        <v>95</v>
      </c>
      <c r="C85" s="35" t="s">
        <v>10</v>
      </c>
      <c r="D85" s="35">
        <v>0.09</v>
      </c>
      <c r="E85" s="36">
        <v>11708</v>
      </c>
      <c r="F85" s="66">
        <v>1053.72</v>
      </c>
    </row>
    <row r="86" ht="20.1" customHeight="1" spans="1:6">
      <c r="A86" s="65">
        <v>46169</v>
      </c>
      <c r="B86" s="35" t="s">
        <v>96</v>
      </c>
      <c r="C86" s="35" t="s">
        <v>12</v>
      </c>
      <c r="D86" s="35">
        <v>0.365</v>
      </c>
      <c r="E86" s="36">
        <v>10017.72</v>
      </c>
      <c r="F86" s="66">
        <v>3656.4678</v>
      </c>
    </row>
    <row r="87" ht="20.1" customHeight="1" spans="1:6">
      <c r="A87" s="65">
        <v>46169</v>
      </c>
      <c r="B87" s="35" t="s">
        <v>97</v>
      </c>
      <c r="C87" s="35" t="s">
        <v>12</v>
      </c>
      <c r="D87" s="35">
        <v>0.322</v>
      </c>
      <c r="E87" s="36">
        <v>10074</v>
      </c>
      <c r="F87" s="66">
        <v>3243.828</v>
      </c>
    </row>
    <row r="88" ht="20.1" customHeight="1" spans="1:6">
      <c r="A88" s="65">
        <v>46169</v>
      </c>
      <c r="B88" s="35" t="s">
        <v>98</v>
      </c>
      <c r="C88" s="35" t="s">
        <v>12</v>
      </c>
      <c r="D88" s="35">
        <v>0.265</v>
      </c>
      <c r="E88" s="36">
        <v>7268.04</v>
      </c>
      <c r="F88" s="66">
        <v>1926.0306</v>
      </c>
    </row>
    <row r="89" ht="20.1" customHeight="1" spans="1:6">
      <c r="A89" s="65">
        <v>46169</v>
      </c>
      <c r="B89" s="35" t="s">
        <v>99</v>
      </c>
      <c r="C89" s="35" t="s">
        <v>12</v>
      </c>
      <c r="D89" s="35">
        <v>0.1975</v>
      </c>
      <c r="E89" s="36">
        <v>9067.48</v>
      </c>
      <c r="F89" s="66">
        <v>1790.8273</v>
      </c>
    </row>
    <row r="90" ht="20.1" customHeight="1" spans="1:6">
      <c r="A90" s="65">
        <v>46169</v>
      </c>
      <c r="B90" s="35" t="s">
        <v>100</v>
      </c>
      <c r="C90" s="35" t="s">
        <v>16</v>
      </c>
      <c r="D90" s="35">
        <v>0.1</v>
      </c>
      <c r="E90" s="36">
        <v>23560</v>
      </c>
      <c r="F90" s="66">
        <v>2356</v>
      </c>
    </row>
    <row r="91" ht="20.1" customHeight="1" spans="1:6">
      <c r="A91" s="65">
        <v>46169</v>
      </c>
      <c r="B91" s="35" t="s">
        <v>101</v>
      </c>
      <c r="C91" s="35" t="s">
        <v>16</v>
      </c>
      <c r="D91" s="35">
        <v>0.0012</v>
      </c>
      <c r="E91" s="36">
        <v>2176000</v>
      </c>
      <c r="F91" s="66">
        <v>2611.2</v>
      </c>
    </row>
    <row r="92" ht="20.1" customHeight="1" spans="1:6">
      <c r="A92" s="65">
        <v>46169</v>
      </c>
      <c r="B92" s="35" t="s">
        <v>102</v>
      </c>
      <c r="C92" s="35" t="s">
        <v>16</v>
      </c>
      <c r="D92" s="35">
        <v>0.0016</v>
      </c>
      <c r="E92" s="36">
        <v>1404000</v>
      </c>
      <c r="F92" s="66">
        <v>2246.4</v>
      </c>
    </row>
    <row r="93" ht="20.1" customHeight="1" spans="1:6">
      <c r="A93" s="65">
        <v>46169</v>
      </c>
      <c r="B93" s="35" t="s">
        <v>103</v>
      </c>
      <c r="C93" s="35" t="s">
        <v>16</v>
      </c>
      <c r="D93" s="35">
        <v>0.0089</v>
      </c>
      <c r="E93" s="36">
        <v>0</v>
      </c>
      <c r="F93" s="66">
        <v>0</v>
      </c>
    </row>
    <row r="94" ht="20.1" customHeight="1" spans="1:6">
      <c r="A94" s="65">
        <v>46169</v>
      </c>
      <c r="B94" s="35" t="s">
        <v>104</v>
      </c>
      <c r="C94" s="35" t="s">
        <v>16</v>
      </c>
      <c r="D94" s="35">
        <v>0.0089</v>
      </c>
      <c r="E94" s="36">
        <v>118000</v>
      </c>
      <c r="F94" s="66">
        <v>1050.2</v>
      </c>
    </row>
    <row r="95" ht="20.1" customHeight="1" spans="1:6">
      <c r="A95" s="65">
        <v>46169</v>
      </c>
      <c r="B95" s="35" t="s">
        <v>105</v>
      </c>
      <c r="C95" s="35" t="s">
        <v>16</v>
      </c>
      <c r="D95" s="35">
        <v>0.031</v>
      </c>
      <c r="E95" s="36">
        <v>42</v>
      </c>
      <c r="F95" s="66">
        <v>1.302</v>
      </c>
    </row>
    <row r="96" ht="20.1" customHeight="1" spans="1:6">
      <c r="A96" s="65">
        <v>46169</v>
      </c>
      <c r="B96" s="35" t="s">
        <v>106</v>
      </c>
      <c r="C96" s="35" t="s">
        <v>16</v>
      </c>
      <c r="D96" s="35">
        <v>0.021</v>
      </c>
      <c r="E96" s="36">
        <v>57500</v>
      </c>
      <c r="F96" s="66">
        <v>1207.5</v>
      </c>
    </row>
    <row r="97" ht="20.1" customHeight="1" spans="1:6">
      <c r="A97" s="65">
        <v>46169</v>
      </c>
      <c r="B97" s="35" t="s">
        <v>107</v>
      </c>
      <c r="C97" s="35" t="s">
        <v>16</v>
      </c>
      <c r="D97" s="35">
        <v>0.003</v>
      </c>
      <c r="E97" s="36">
        <v>0</v>
      </c>
      <c r="F97" s="66">
        <v>0</v>
      </c>
    </row>
    <row r="98" ht="20.1" customHeight="1" spans="1:6">
      <c r="A98" s="65">
        <v>46169</v>
      </c>
      <c r="B98" s="35" t="s">
        <v>108</v>
      </c>
      <c r="C98" s="35" t="s">
        <v>16</v>
      </c>
      <c r="D98" s="35">
        <v>0.019</v>
      </c>
      <c r="E98" s="36">
        <v>0</v>
      </c>
      <c r="F98" s="66">
        <v>0</v>
      </c>
    </row>
    <row r="99" ht="20.1" customHeight="1" spans="1:6">
      <c r="A99" s="65">
        <v>46169</v>
      </c>
      <c r="B99" s="35" t="s">
        <v>109</v>
      </c>
      <c r="C99" s="35" t="s">
        <v>16</v>
      </c>
      <c r="D99" s="35">
        <v>0.019</v>
      </c>
      <c r="E99" s="36">
        <v>0</v>
      </c>
      <c r="F99" s="66">
        <v>0</v>
      </c>
    </row>
    <row r="100" ht="20.1" customHeight="1" spans="1:6">
      <c r="A100" s="65">
        <v>46169</v>
      </c>
      <c r="B100" s="35" t="s">
        <v>110</v>
      </c>
      <c r="C100" s="35" t="s">
        <v>16</v>
      </c>
      <c r="D100" s="35">
        <v>0.008</v>
      </c>
      <c r="E100" s="36">
        <v>8000</v>
      </c>
      <c r="F100" s="66">
        <v>64</v>
      </c>
    </row>
    <row r="101" ht="20.1" customHeight="1" spans="1:6">
      <c r="A101" s="65">
        <v>46169</v>
      </c>
      <c r="B101" s="35" t="s">
        <v>111</v>
      </c>
      <c r="C101" s="35" t="s">
        <v>16</v>
      </c>
      <c r="D101" s="35">
        <v>0.041</v>
      </c>
      <c r="E101" s="36">
        <v>28800</v>
      </c>
      <c r="F101" s="66">
        <v>1180.8</v>
      </c>
    </row>
    <row r="102" ht="20.1" customHeight="1" spans="1:6">
      <c r="A102" s="65">
        <v>46169</v>
      </c>
      <c r="B102" s="35" t="s">
        <v>112</v>
      </c>
      <c r="C102" s="35" t="s">
        <v>16</v>
      </c>
      <c r="D102" s="35">
        <v>0.075</v>
      </c>
      <c r="E102" s="36">
        <v>6120</v>
      </c>
      <c r="F102" s="66">
        <v>459</v>
      </c>
    </row>
    <row r="103" ht="20.1" customHeight="1" spans="1:6">
      <c r="A103" s="65">
        <v>46169</v>
      </c>
      <c r="B103" s="35" t="s">
        <v>113</v>
      </c>
      <c r="C103" s="35" t="s">
        <v>16</v>
      </c>
      <c r="D103" s="35">
        <v>0.0638</v>
      </c>
      <c r="E103" s="36">
        <v>0</v>
      </c>
      <c r="F103" s="66">
        <v>0</v>
      </c>
    </row>
    <row r="104" ht="20.1" customHeight="1" spans="1:6">
      <c r="A104" s="65">
        <v>46169</v>
      </c>
      <c r="B104" s="35" t="s">
        <v>114</v>
      </c>
      <c r="C104" s="35" t="s">
        <v>16</v>
      </c>
      <c r="D104" s="35">
        <v>0.0072</v>
      </c>
      <c r="E104" s="36">
        <v>41000</v>
      </c>
      <c r="F104" s="66">
        <v>295.2</v>
      </c>
    </row>
    <row r="105" ht="20.1" customHeight="1" spans="1:6">
      <c r="A105" s="65">
        <v>46169</v>
      </c>
      <c r="B105" s="35" t="s">
        <v>115</v>
      </c>
      <c r="C105" s="35" t="s">
        <v>16</v>
      </c>
      <c r="D105" s="35">
        <v>0.0283</v>
      </c>
      <c r="E105" s="36">
        <v>4500</v>
      </c>
      <c r="F105" s="66">
        <v>127.35</v>
      </c>
    </row>
    <row r="106" ht="20.1" customHeight="1" spans="1:6">
      <c r="A106" s="65">
        <v>46169</v>
      </c>
      <c r="B106" s="35" t="s">
        <v>116</v>
      </c>
      <c r="C106" s="35" t="s">
        <v>16</v>
      </c>
      <c r="D106" s="35">
        <v>0.045</v>
      </c>
      <c r="E106" s="36">
        <v>29100</v>
      </c>
      <c r="F106" s="66">
        <v>1309.5</v>
      </c>
    </row>
    <row r="107" ht="20.1" customHeight="1" spans="1:6">
      <c r="A107" s="65">
        <v>46169</v>
      </c>
      <c r="B107" s="35" t="s">
        <v>117</v>
      </c>
      <c r="C107" s="35" t="s">
        <v>16</v>
      </c>
      <c r="D107" s="35">
        <v>0.332</v>
      </c>
      <c r="E107" s="36">
        <v>6138</v>
      </c>
      <c r="F107" s="66">
        <v>2037.816</v>
      </c>
    </row>
    <row r="108" ht="20.1" customHeight="1" spans="1:6">
      <c r="A108" s="65">
        <v>46169</v>
      </c>
      <c r="B108" s="35" t="s">
        <v>118</v>
      </c>
      <c r="C108" s="35" t="s">
        <v>16</v>
      </c>
      <c r="D108" s="35">
        <v>0.024</v>
      </c>
      <c r="E108" s="36">
        <v>72</v>
      </c>
      <c r="F108" s="66">
        <v>1.728</v>
      </c>
    </row>
    <row r="109" ht="20.1" customHeight="1" spans="1:6">
      <c r="A109" s="65">
        <v>46169</v>
      </c>
      <c r="B109" s="35" t="s">
        <v>119</v>
      </c>
      <c r="C109" s="35" t="s">
        <v>16</v>
      </c>
      <c r="D109" s="35">
        <v>0.0253</v>
      </c>
      <c r="E109" s="36">
        <v>411300</v>
      </c>
      <c r="F109" s="66">
        <v>10405.89</v>
      </c>
    </row>
    <row r="110" ht="20.1" customHeight="1" spans="1:6">
      <c r="A110" s="65">
        <v>46169</v>
      </c>
      <c r="B110" s="35" t="s">
        <v>120</v>
      </c>
      <c r="C110" s="35" t="s">
        <v>10</v>
      </c>
      <c r="D110" s="35">
        <v>0.022</v>
      </c>
      <c r="E110" s="36">
        <v>0</v>
      </c>
      <c r="F110" s="66">
        <v>0</v>
      </c>
    </row>
    <row r="111" ht="20.1" customHeight="1" spans="1:6">
      <c r="A111" s="65">
        <v>46169</v>
      </c>
      <c r="B111" s="35" t="s">
        <v>121</v>
      </c>
      <c r="C111" s="35" t="s">
        <v>10</v>
      </c>
      <c r="D111" s="35">
        <v>0.026</v>
      </c>
      <c r="E111" s="36">
        <v>10992</v>
      </c>
      <c r="F111" s="66">
        <v>285.792</v>
      </c>
    </row>
    <row r="112" ht="20.1" customHeight="1" spans="1:6">
      <c r="A112" s="65">
        <v>46169</v>
      </c>
      <c r="B112" s="35" t="s">
        <v>122</v>
      </c>
      <c r="C112" s="35" t="s">
        <v>10</v>
      </c>
      <c r="D112" s="35">
        <v>0.026</v>
      </c>
      <c r="E112" s="36">
        <v>29000</v>
      </c>
      <c r="F112" s="66">
        <v>754</v>
      </c>
    </row>
    <row r="113" ht="20.1" customHeight="1" spans="1:6">
      <c r="A113" s="65">
        <v>46169</v>
      </c>
      <c r="B113" s="35" t="s">
        <v>123</v>
      </c>
      <c r="C113" s="35" t="s">
        <v>10</v>
      </c>
      <c r="D113" s="35">
        <v>0.041</v>
      </c>
      <c r="E113" s="36">
        <v>7048</v>
      </c>
      <c r="F113" s="66">
        <v>288.968</v>
      </c>
    </row>
    <row r="114" ht="20.1" customHeight="1" spans="1:6">
      <c r="A114" s="65">
        <v>46169</v>
      </c>
      <c r="B114" s="35" t="s">
        <v>124</v>
      </c>
      <c r="C114" s="35" t="s">
        <v>10</v>
      </c>
      <c r="D114" s="35">
        <v>0.046</v>
      </c>
      <c r="E114" s="36">
        <v>31896</v>
      </c>
      <c r="F114" s="66">
        <v>1467.216</v>
      </c>
    </row>
    <row r="115" ht="20.1" customHeight="1" spans="1:6">
      <c r="A115" s="65">
        <v>46169</v>
      </c>
      <c r="B115" s="35" t="s">
        <v>125</v>
      </c>
      <c r="C115" s="35" t="s">
        <v>10</v>
      </c>
      <c r="D115" s="35">
        <v>0.071</v>
      </c>
      <c r="E115" s="36">
        <v>1800</v>
      </c>
      <c r="F115" s="66">
        <v>127.8</v>
      </c>
    </row>
    <row r="116" ht="20.1" customHeight="1" spans="1:6">
      <c r="A116" s="65">
        <v>46169</v>
      </c>
      <c r="B116" s="35" t="s">
        <v>126</v>
      </c>
      <c r="C116" s="35" t="s">
        <v>10</v>
      </c>
      <c r="D116" s="35">
        <v>0.071</v>
      </c>
      <c r="E116" s="36">
        <v>8220</v>
      </c>
      <c r="F116" s="66">
        <v>583.62</v>
      </c>
    </row>
    <row r="117" ht="20.1" customHeight="1" spans="1:6">
      <c r="A117" s="65">
        <v>46169</v>
      </c>
      <c r="B117" s="35" t="s">
        <v>127</v>
      </c>
      <c r="C117" s="35" t="s">
        <v>10</v>
      </c>
      <c r="D117" s="35">
        <v>0.083</v>
      </c>
      <c r="E117" s="36">
        <v>5275</v>
      </c>
      <c r="F117" s="66">
        <v>437.825</v>
      </c>
    </row>
    <row r="118" ht="20.1" customHeight="1" spans="1:6">
      <c r="A118" s="65">
        <v>46169</v>
      </c>
      <c r="B118" s="35" t="s">
        <v>128</v>
      </c>
      <c r="C118" s="35" t="s">
        <v>10</v>
      </c>
      <c r="D118" s="35">
        <v>0.083</v>
      </c>
      <c r="E118" s="36">
        <v>52704</v>
      </c>
      <c r="F118" s="66">
        <v>4374.432</v>
      </c>
    </row>
    <row r="119" ht="20.1" customHeight="1" spans="1:6">
      <c r="A119" s="65">
        <v>46169</v>
      </c>
      <c r="B119" s="35" t="s">
        <v>129</v>
      </c>
      <c r="C119" s="35" t="s">
        <v>16</v>
      </c>
      <c r="D119" s="35">
        <v>0.0021</v>
      </c>
      <c r="E119" s="36">
        <v>2000</v>
      </c>
      <c r="F119" s="66">
        <v>4.2</v>
      </c>
    </row>
    <row r="120" ht="20.1" customHeight="1" spans="1:6">
      <c r="A120" s="65">
        <v>46169</v>
      </c>
      <c r="B120" s="35" t="s">
        <v>130</v>
      </c>
      <c r="C120" s="35" t="s">
        <v>16</v>
      </c>
      <c r="D120" s="35">
        <v>0.0023</v>
      </c>
      <c r="E120" s="36">
        <v>6000</v>
      </c>
      <c r="F120" s="66">
        <v>13.8</v>
      </c>
    </row>
    <row r="121" ht="20.1" customHeight="1" spans="1:6">
      <c r="A121" s="65">
        <v>46169</v>
      </c>
      <c r="B121" s="35" t="s">
        <v>131</v>
      </c>
      <c r="C121" s="35" t="s">
        <v>16</v>
      </c>
      <c r="D121" s="35">
        <v>0.0081</v>
      </c>
      <c r="E121" s="36">
        <v>66000</v>
      </c>
      <c r="F121" s="66">
        <v>534.6</v>
      </c>
    </row>
    <row r="122" ht="20.1" customHeight="1" spans="1:6">
      <c r="A122" s="65">
        <v>46169</v>
      </c>
      <c r="B122" s="35" t="s">
        <v>132</v>
      </c>
      <c r="C122" s="35" t="s">
        <v>16</v>
      </c>
      <c r="D122" s="35">
        <v>0.0123</v>
      </c>
      <c r="E122" s="36">
        <v>116000</v>
      </c>
      <c r="F122" s="66">
        <v>1426.8</v>
      </c>
    </row>
    <row r="123" ht="20.1" customHeight="1" spans="1:6">
      <c r="A123" s="65">
        <v>46169</v>
      </c>
      <c r="B123" s="35" t="s">
        <v>133</v>
      </c>
      <c r="C123" s="35" t="s">
        <v>16</v>
      </c>
      <c r="D123" s="35">
        <v>0.0018</v>
      </c>
      <c r="E123" s="36">
        <v>1820000</v>
      </c>
      <c r="F123" s="66">
        <v>3276</v>
      </c>
    </row>
    <row r="124" ht="20.1" customHeight="1" spans="1:6">
      <c r="A124" s="65">
        <v>46169</v>
      </c>
      <c r="B124" s="35" t="s">
        <v>134</v>
      </c>
      <c r="C124" s="35" t="s">
        <v>16</v>
      </c>
      <c r="D124" s="35">
        <v>0.0048</v>
      </c>
      <c r="E124" s="36">
        <v>282000</v>
      </c>
      <c r="F124" s="66">
        <v>1353.6</v>
      </c>
    </row>
    <row r="125" ht="20.1" customHeight="1" spans="1:6">
      <c r="A125" s="65">
        <v>46169</v>
      </c>
      <c r="B125" s="35" t="s">
        <v>135</v>
      </c>
      <c r="C125" s="35" t="s">
        <v>16</v>
      </c>
      <c r="D125" s="35">
        <v>0.003</v>
      </c>
      <c r="E125" s="36">
        <v>663192</v>
      </c>
      <c r="F125" s="66">
        <v>1989.576</v>
      </c>
    </row>
    <row r="126" ht="20.1" customHeight="1" spans="1:6">
      <c r="A126" s="65">
        <v>46169</v>
      </c>
      <c r="B126" s="35" t="s">
        <v>136</v>
      </c>
      <c r="C126" s="35" t="s">
        <v>16</v>
      </c>
      <c r="D126" s="35">
        <v>0.0068</v>
      </c>
      <c r="E126" s="36">
        <v>948400</v>
      </c>
      <c r="F126" s="66">
        <v>6449.12</v>
      </c>
    </row>
    <row r="127" ht="20.1" customHeight="1" spans="1:6">
      <c r="A127" s="65">
        <v>46169</v>
      </c>
      <c r="B127" s="35" t="s">
        <v>137</v>
      </c>
      <c r="C127" s="35" t="s">
        <v>16</v>
      </c>
      <c r="D127" s="35">
        <v>0.0045</v>
      </c>
      <c r="E127" s="36">
        <v>756000</v>
      </c>
      <c r="F127" s="66">
        <v>3402</v>
      </c>
    </row>
    <row r="128" ht="20.1" customHeight="1" spans="1:6">
      <c r="A128" s="65">
        <v>46169</v>
      </c>
      <c r="B128" s="35" t="s">
        <v>138</v>
      </c>
      <c r="C128" s="35" t="s">
        <v>16</v>
      </c>
      <c r="D128" s="35">
        <v>0.0095</v>
      </c>
      <c r="E128" s="36">
        <v>664500</v>
      </c>
      <c r="F128" s="66">
        <v>6312.75</v>
      </c>
    </row>
  </sheetData>
  <sortState ref="J4:K6">
    <sortCondition ref="K4:K6" descending="1"/>
  </sortState>
  <dataValidations count="1">
    <dataValidation type="list" allowBlank="1" showInputMessage="1" showErrorMessage="1" sqref="B3:B128">
      <formula1>'Prod FG'!$B$2:$B$206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workbookViewId="0">
      <selection activeCell="M12" sqref="M12"/>
    </sheetView>
  </sheetViews>
  <sheetFormatPr defaultColWidth="9" defaultRowHeight="15" outlineLevelCol="2"/>
  <cols>
    <col min="1" max="1" width="13.1428571428571" customWidth="1"/>
    <col min="2" max="2" width="19" customWidth="1"/>
    <col min="3" max="3" width="21.8571428571429" customWidth="1"/>
  </cols>
  <sheetData>
    <row r="3" spans="1:3">
      <c r="A3" t="s">
        <v>139</v>
      </c>
      <c r="B3" t="s">
        <v>140</v>
      </c>
      <c r="C3" t="s">
        <v>141</v>
      </c>
    </row>
    <row r="4" spans="1:3">
      <c r="A4" s="60" t="s">
        <v>142</v>
      </c>
      <c r="B4" s="61">
        <v>2313</v>
      </c>
      <c r="C4" s="61">
        <v>2239.32</v>
      </c>
    </row>
    <row r="5" spans="1:3">
      <c r="A5" s="60" t="s">
        <v>143</v>
      </c>
      <c r="B5" s="61">
        <v>12897</v>
      </c>
      <c r="C5" s="61">
        <v>6448.1634</v>
      </c>
    </row>
    <row r="6" spans="1:3">
      <c r="A6" s="60" t="s">
        <v>144</v>
      </c>
      <c r="B6" s="61">
        <v>21046</v>
      </c>
      <c r="C6" s="61">
        <v>16655.055</v>
      </c>
    </row>
    <row r="7" spans="1:3">
      <c r="A7" s="60" t="s">
        <v>145</v>
      </c>
      <c r="B7" s="61">
        <v>1257</v>
      </c>
      <c r="C7" s="61">
        <v>1135.236</v>
      </c>
    </row>
    <row r="8" spans="1:3">
      <c r="A8" s="60" t="s">
        <v>146</v>
      </c>
      <c r="B8" s="61">
        <v>5805</v>
      </c>
      <c r="C8" s="61">
        <v>3787.0657</v>
      </c>
    </row>
    <row r="9" spans="1:3">
      <c r="A9" s="60" t="s">
        <v>147</v>
      </c>
      <c r="B9" s="61">
        <v>1288</v>
      </c>
      <c r="C9" s="61">
        <v>275.556</v>
      </c>
    </row>
    <row r="10" spans="1:3">
      <c r="A10" s="60" t="s">
        <v>148</v>
      </c>
      <c r="B10" s="61">
        <v>44606</v>
      </c>
      <c r="C10" s="61">
        <v>30540.3961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opLeftCell="A44" workbookViewId="0">
      <selection activeCell="A3" sqref="A3:A60"/>
    </sheetView>
  </sheetViews>
  <sheetFormatPr defaultColWidth="9" defaultRowHeight="15"/>
  <cols>
    <col min="1" max="1" width="13.2857142857143" customWidth="1"/>
    <col min="2" max="2" width="14" customWidth="1"/>
    <col min="3" max="3" width="18.1428571428571" customWidth="1"/>
    <col min="4" max="4" width="10.4285714285714" customWidth="1"/>
    <col min="5" max="5" width="11.5714285714286" customWidth="1"/>
    <col min="6" max="6" width="7.85714285714286" customWidth="1"/>
  </cols>
  <sheetData>
    <row r="1" s="7" customFormat="1" ht="20.1" customHeight="1" spans="1:14">
      <c r="A1" s="22">
        <f ca="1">TODAY()-1</f>
        <v>46169</v>
      </c>
      <c r="D1" s="51">
        <f ca="1">SUMIF(A3:A60,A1,D3:D60)</f>
        <v>44606</v>
      </c>
      <c r="E1" s="51">
        <f ca="1">SUMIF(A3:A60,A1,E3:E60)</f>
        <v>30540.3961</v>
      </c>
      <c r="F1" s="52">
        <f ca="1">E1/D1</f>
        <v>0.684670136304533</v>
      </c>
      <c r="N1"/>
    </row>
    <row r="2" s="30" customFormat="1" ht="33" customHeight="1" spans="1:14">
      <c r="A2" s="53" t="s">
        <v>149</v>
      </c>
      <c r="B2" s="33" t="s">
        <v>150</v>
      </c>
      <c r="C2" s="33" t="s">
        <v>151</v>
      </c>
      <c r="D2" s="54" t="s">
        <v>152</v>
      </c>
      <c r="E2" s="54" t="s">
        <v>153</v>
      </c>
      <c r="F2" s="55" t="s">
        <v>154</v>
      </c>
    </row>
    <row r="3" ht="20.1" customHeight="1" spans="1:14">
      <c r="A3" s="56">
        <v>46169</v>
      </c>
      <c r="B3" s="46" t="s">
        <v>144</v>
      </c>
      <c r="C3" s="57" t="s">
        <v>155</v>
      </c>
      <c r="D3" s="58">
        <v>1140</v>
      </c>
      <c r="E3" s="58">
        <v>856.68</v>
      </c>
      <c r="F3" s="59">
        <f t="shared" ref="F3:F60" si="0">IFERROR(E3/D3,"-")</f>
        <v>0.751473684210526</v>
      </c>
    </row>
    <row r="4" ht="20.1" customHeight="1" spans="1:14">
      <c r="A4" s="56">
        <v>46169</v>
      </c>
      <c r="B4" s="46" t="s">
        <v>144</v>
      </c>
      <c r="C4" s="57" t="s">
        <v>156</v>
      </c>
      <c r="D4" s="58">
        <v>1659</v>
      </c>
      <c r="E4" s="58">
        <v>1024.32</v>
      </c>
      <c r="F4" s="59">
        <f t="shared" si="0"/>
        <v>0.617432188065099</v>
      </c>
    </row>
    <row r="5" ht="20.1" customHeight="1" spans="1:14">
      <c r="A5" s="56">
        <v>46169</v>
      </c>
      <c r="B5" s="46" t="s">
        <v>144</v>
      </c>
      <c r="C5" s="57" t="s">
        <v>157</v>
      </c>
      <c r="D5" s="58">
        <v>3486</v>
      </c>
      <c r="E5" s="58">
        <v>2884.2</v>
      </c>
      <c r="F5" s="59">
        <f t="shared" si="0"/>
        <v>0.82736660929432</v>
      </c>
    </row>
    <row r="6" ht="20.1" customHeight="1" spans="1:14">
      <c r="A6" s="56">
        <v>46169</v>
      </c>
      <c r="B6" s="46" t="s">
        <v>144</v>
      </c>
      <c r="C6" s="57" t="s">
        <v>158</v>
      </c>
      <c r="D6" s="58">
        <v>3388</v>
      </c>
      <c r="E6" s="58">
        <v>1933.755</v>
      </c>
      <c r="F6" s="59">
        <f t="shared" si="0"/>
        <v>0.570765938606848</v>
      </c>
    </row>
    <row r="7" ht="20.1" customHeight="1" spans="1:14">
      <c r="A7" s="56">
        <v>46169</v>
      </c>
      <c r="B7" s="46" t="s">
        <v>144</v>
      </c>
      <c r="C7" s="57" t="s">
        <v>159</v>
      </c>
      <c r="D7" s="58">
        <v>2222</v>
      </c>
      <c r="E7" s="58">
        <v>1109.7</v>
      </c>
      <c r="F7" s="59">
        <f t="shared" si="0"/>
        <v>0.499414941494149</v>
      </c>
    </row>
    <row r="8" ht="20.1" customHeight="1" spans="1:14">
      <c r="A8" s="56">
        <v>46169</v>
      </c>
      <c r="B8" s="46" t="s">
        <v>144</v>
      </c>
      <c r="C8" s="57" t="s">
        <v>160</v>
      </c>
      <c r="D8" s="58">
        <v>3613</v>
      </c>
      <c r="E8" s="58">
        <v>3629.4</v>
      </c>
      <c r="F8" s="59">
        <f t="shared" si="0"/>
        <v>1.00453916412953</v>
      </c>
    </row>
    <row r="9" ht="20.1" customHeight="1" spans="1:14">
      <c r="A9" s="56">
        <v>46169</v>
      </c>
      <c r="B9" s="46" t="s">
        <v>144</v>
      </c>
      <c r="C9" s="57" t="s">
        <v>161</v>
      </c>
      <c r="D9" s="58">
        <v>3486</v>
      </c>
      <c r="E9" s="58">
        <v>3362.6</v>
      </c>
      <c r="F9" s="59">
        <f t="shared" si="0"/>
        <v>0.964601262191624</v>
      </c>
    </row>
    <row r="10" ht="20.1" customHeight="1" spans="1:14">
      <c r="A10" s="56">
        <v>46169</v>
      </c>
      <c r="B10" s="46" t="s">
        <v>144</v>
      </c>
      <c r="C10" s="57" t="s">
        <v>162</v>
      </c>
      <c r="D10" s="58">
        <v>2052</v>
      </c>
      <c r="E10" s="58">
        <v>1854.4</v>
      </c>
      <c r="F10" s="59">
        <f t="shared" si="0"/>
        <v>0.903703703703704</v>
      </c>
    </row>
    <row r="11" ht="20.1" customHeight="1" spans="1:14">
      <c r="A11" s="56">
        <v>46169</v>
      </c>
      <c r="B11" s="46" t="s">
        <v>143</v>
      </c>
      <c r="C11" s="57" t="s">
        <v>163</v>
      </c>
      <c r="D11" s="58">
        <v>103</v>
      </c>
      <c r="E11" s="58">
        <v>130.758</v>
      </c>
      <c r="F11" s="59">
        <f t="shared" si="0"/>
        <v>1.26949514563107</v>
      </c>
    </row>
    <row r="12" ht="20.1" customHeight="1" spans="1:14">
      <c r="A12" s="56">
        <v>46169</v>
      </c>
      <c r="B12" s="46" t="s">
        <v>143</v>
      </c>
      <c r="C12" s="57" t="s">
        <v>164</v>
      </c>
      <c r="D12" s="58">
        <v>92</v>
      </c>
      <c r="E12" s="58">
        <v>3.7758</v>
      </c>
      <c r="F12" s="59">
        <f t="shared" si="0"/>
        <v>0.0410413043478261</v>
      </c>
    </row>
    <row r="13" ht="20.1" customHeight="1" spans="1:14">
      <c r="A13" s="56">
        <v>46169</v>
      </c>
      <c r="B13" s="46" t="s">
        <v>143</v>
      </c>
      <c r="C13" s="57" t="s">
        <v>164</v>
      </c>
      <c r="D13" s="58">
        <v>55</v>
      </c>
      <c r="E13" s="58">
        <v>54.264</v>
      </c>
      <c r="F13" s="59">
        <f t="shared" si="0"/>
        <v>0.986618181818182</v>
      </c>
    </row>
    <row r="14" ht="20.1" customHeight="1" spans="1:14">
      <c r="A14" s="56">
        <v>46169</v>
      </c>
      <c r="B14" s="46" t="s">
        <v>143</v>
      </c>
      <c r="C14" s="57" t="s">
        <v>165</v>
      </c>
      <c r="D14" s="58">
        <v>221</v>
      </c>
      <c r="E14" s="58">
        <v>174.8</v>
      </c>
      <c r="F14" s="59">
        <f t="shared" si="0"/>
        <v>0.790950226244344</v>
      </c>
    </row>
    <row r="15" ht="20.1" customHeight="1" spans="1:14">
      <c r="A15" s="56">
        <v>46169</v>
      </c>
      <c r="B15" s="46" t="s">
        <v>143</v>
      </c>
      <c r="C15" s="57" t="s">
        <v>166</v>
      </c>
      <c r="D15" s="58">
        <v>194</v>
      </c>
      <c r="E15" s="58">
        <v>87.66</v>
      </c>
      <c r="F15" s="59">
        <f t="shared" si="0"/>
        <v>0.451855670103093</v>
      </c>
    </row>
    <row r="16" ht="20.1" customHeight="1" spans="1:14">
      <c r="A16" s="56">
        <v>46169</v>
      </c>
      <c r="B16" s="46" t="s">
        <v>143</v>
      </c>
      <c r="C16" s="57" t="s">
        <v>167</v>
      </c>
      <c r="D16" s="58">
        <v>106</v>
      </c>
      <c r="E16" s="58">
        <v>64.908</v>
      </c>
      <c r="F16" s="59">
        <f t="shared" si="0"/>
        <v>0.612339622641509</v>
      </c>
    </row>
    <row r="17" ht="20.1" customHeight="1" spans="1:6">
      <c r="A17" s="56">
        <v>46169</v>
      </c>
      <c r="B17" s="46" t="s">
        <v>143</v>
      </c>
      <c r="C17" s="57" t="s">
        <v>168</v>
      </c>
      <c r="D17" s="58">
        <v>139</v>
      </c>
      <c r="E17" s="58">
        <v>176.291</v>
      </c>
      <c r="F17" s="59">
        <f t="shared" si="0"/>
        <v>1.26828057553957</v>
      </c>
    </row>
    <row r="18" ht="20.1" customHeight="1" spans="1:6">
      <c r="A18" s="56">
        <v>46169</v>
      </c>
      <c r="B18" s="46" t="s">
        <v>143</v>
      </c>
      <c r="C18" s="57" t="s">
        <v>169</v>
      </c>
      <c r="D18" s="58">
        <v>202</v>
      </c>
      <c r="E18" s="58">
        <v>146.86</v>
      </c>
      <c r="F18" s="59">
        <f t="shared" si="0"/>
        <v>0.727029702970297</v>
      </c>
    </row>
    <row r="19" ht="20.1" customHeight="1" spans="1:6">
      <c r="A19" s="56">
        <v>46169</v>
      </c>
      <c r="B19" s="46" t="s">
        <v>143</v>
      </c>
      <c r="C19" s="57" t="s">
        <v>170</v>
      </c>
      <c r="D19" s="58">
        <v>173</v>
      </c>
      <c r="E19" s="58">
        <v>176.318</v>
      </c>
      <c r="F19" s="59">
        <f t="shared" si="0"/>
        <v>1.01917919075145</v>
      </c>
    </row>
    <row r="20" ht="20.1" customHeight="1" spans="1:6">
      <c r="A20" s="56">
        <v>46169</v>
      </c>
      <c r="B20" s="46" t="s">
        <v>143</v>
      </c>
      <c r="C20" s="57" t="s">
        <v>171</v>
      </c>
      <c r="D20" s="58">
        <v>228</v>
      </c>
      <c r="E20" s="58">
        <v>144.55</v>
      </c>
      <c r="F20" s="59">
        <f t="shared" si="0"/>
        <v>0.633991228070175</v>
      </c>
    </row>
    <row r="21" ht="20.1" customHeight="1" spans="1:6">
      <c r="A21" s="56">
        <v>46169</v>
      </c>
      <c r="B21" s="46" t="s">
        <v>143</v>
      </c>
      <c r="C21" s="57" t="s">
        <v>172</v>
      </c>
      <c r="D21" s="58">
        <v>320</v>
      </c>
      <c r="E21" s="58">
        <v>272.098</v>
      </c>
      <c r="F21" s="59">
        <f t="shared" si="0"/>
        <v>0.85030625</v>
      </c>
    </row>
    <row r="22" ht="20.1" customHeight="1" spans="1:6">
      <c r="A22" s="56">
        <v>46169</v>
      </c>
      <c r="B22" s="46" t="s">
        <v>143</v>
      </c>
      <c r="C22" s="57" t="s">
        <v>173</v>
      </c>
      <c r="D22" s="58">
        <v>279</v>
      </c>
      <c r="E22" s="58">
        <v>104.916</v>
      </c>
      <c r="F22" s="59">
        <f t="shared" si="0"/>
        <v>0.376043010752688</v>
      </c>
    </row>
    <row r="23" ht="20.1" customHeight="1" spans="1:6">
      <c r="A23" s="56">
        <v>46169</v>
      </c>
      <c r="B23" s="46" t="s">
        <v>143</v>
      </c>
      <c r="C23" s="57" t="s">
        <v>173</v>
      </c>
      <c r="D23" s="58">
        <v>232</v>
      </c>
      <c r="E23" s="58">
        <v>62.846</v>
      </c>
      <c r="F23" s="59">
        <f t="shared" si="0"/>
        <v>0.270887931034483</v>
      </c>
    </row>
    <row r="24" ht="20.1" customHeight="1" spans="1:6">
      <c r="A24" s="56">
        <v>46169</v>
      </c>
      <c r="B24" s="46" t="s">
        <v>143</v>
      </c>
      <c r="C24" s="57" t="s">
        <v>174</v>
      </c>
      <c r="D24" s="58">
        <v>216</v>
      </c>
      <c r="E24" s="58">
        <v>47.28</v>
      </c>
      <c r="F24" s="59">
        <f t="shared" si="0"/>
        <v>0.218888888888889</v>
      </c>
    </row>
    <row r="25" ht="20.1" customHeight="1" spans="1:6">
      <c r="A25" s="56">
        <v>46169</v>
      </c>
      <c r="B25" s="46" t="s">
        <v>143</v>
      </c>
      <c r="C25" s="57" t="s">
        <v>174</v>
      </c>
      <c r="D25" s="58">
        <v>232</v>
      </c>
      <c r="E25" s="58">
        <v>48.977</v>
      </c>
      <c r="F25" s="59">
        <f t="shared" si="0"/>
        <v>0.21110775862069</v>
      </c>
    </row>
    <row r="26" ht="20.1" customHeight="1" spans="1:6">
      <c r="A26" s="56">
        <v>46169</v>
      </c>
      <c r="B26" s="46" t="s">
        <v>143</v>
      </c>
      <c r="C26" s="57" t="s">
        <v>174</v>
      </c>
      <c r="D26" s="58">
        <v>137</v>
      </c>
      <c r="E26" s="58">
        <v>32.0256</v>
      </c>
      <c r="F26" s="59">
        <f t="shared" si="0"/>
        <v>0.233763503649635</v>
      </c>
    </row>
    <row r="27" ht="20.1" customHeight="1" spans="1:6">
      <c r="A27" s="56">
        <v>46169</v>
      </c>
      <c r="B27" s="46" t="s">
        <v>143</v>
      </c>
      <c r="C27" s="57" t="s">
        <v>175</v>
      </c>
      <c r="D27" s="58">
        <v>346</v>
      </c>
      <c r="E27" s="58">
        <v>230.714</v>
      </c>
      <c r="F27" s="59">
        <f t="shared" si="0"/>
        <v>0.666803468208092</v>
      </c>
    </row>
    <row r="28" ht="20.1" customHeight="1" spans="1:6">
      <c r="A28" s="56">
        <v>46169</v>
      </c>
      <c r="B28" s="46" t="s">
        <v>143</v>
      </c>
      <c r="C28" s="57" t="s">
        <v>176</v>
      </c>
      <c r="D28" s="58">
        <v>497</v>
      </c>
      <c r="E28" s="58">
        <v>390.425</v>
      </c>
      <c r="F28" s="59">
        <f t="shared" si="0"/>
        <v>0.78556338028169</v>
      </c>
    </row>
    <row r="29" ht="20.1" customHeight="1" spans="1:6">
      <c r="A29" s="56">
        <v>46169</v>
      </c>
      <c r="B29" s="46" t="s">
        <v>143</v>
      </c>
      <c r="C29" s="57" t="s">
        <v>177</v>
      </c>
      <c r="D29" s="58">
        <v>573</v>
      </c>
      <c r="E29" s="58">
        <v>264.6</v>
      </c>
      <c r="F29" s="59">
        <f t="shared" si="0"/>
        <v>0.461780104712042</v>
      </c>
    </row>
    <row r="30" ht="20.1" customHeight="1" spans="1:6">
      <c r="A30" s="56">
        <v>46169</v>
      </c>
      <c r="B30" s="46" t="s">
        <v>143</v>
      </c>
      <c r="C30" s="57" t="s">
        <v>178</v>
      </c>
      <c r="D30" s="58">
        <v>830</v>
      </c>
      <c r="E30" s="58">
        <v>262.095</v>
      </c>
      <c r="F30" s="59">
        <f t="shared" si="0"/>
        <v>0.315777108433735</v>
      </c>
    </row>
    <row r="31" ht="20.1" customHeight="1" spans="1:6">
      <c r="A31" s="56">
        <v>46169</v>
      </c>
      <c r="B31" s="46" t="s">
        <v>143</v>
      </c>
      <c r="C31" s="57" t="s">
        <v>179</v>
      </c>
      <c r="D31" s="58">
        <v>411</v>
      </c>
      <c r="E31" s="58">
        <v>134.946</v>
      </c>
      <c r="F31" s="59">
        <f t="shared" si="0"/>
        <v>0.328335766423358</v>
      </c>
    </row>
    <row r="32" ht="20.1" customHeight="1" spans="1:6">
      <c r="A32" s="56">
        <v>46169</v>
      </c>
      <c r="B32" s="46" t="s">
        <v>143</v>
      </c>
      <c r="C32" s="57" t="s">
        <v>180</v>
      </c>
      <c r="D32" s="58">
        <v>728</v>
      </c>
      <c r="E32" s="58">
        <v>266.046</v>
      </c>
      <c r="F32" s="59">
        <f t="shared" si="0"/>
        <v>0.365447802197802</v>
      </c>
    </row>
    <row r="33" ht="20.1" customHeight="1" spans="1:6">
      <c r="A33" s="56">
        <v>46169</v>
      </c>
      <c r="B33" s="46" t="s">
        <v>143</v>
      </c>
      <c r="C33" s="57" t="s">
        <v>181</v>
      </c>
      <c r="D33" s="58">
        <v>739</v>
      </c>
      <c r="E33" s="58">
        <v>544.39</v>
      </c>
      <c r="F33" s="59">
        <f t="shared" si="0"/>
        <v>0.736657645466847</v>
      </c>
    </row>
    <row r="34" ht="20.1" customHeight="1" spans="1:6">
      <c r="A34" s="56">
        <v>46169</v>
      </c>
      <c r="B34" s="46" t="s">
        <v>143</v>
      </c>
      <c r="C34" s="57" t="s">
        <v>182</v>
      </c>
      <c r="D34" s="58">
        <v>798</v>
      </c>
      <c r="E34" s="58">
        <v>406.3</v>
      </c>
      <c r="F34" s="59">
        <f t="shared" si="0"/>
        <v>0.509147869674185</v>
      </c>
    </row>
    <row r="35" ht="20.1" customHeight="1" spans="1:6">
      <c r="A35" s="56">
        <v>46169</v>
      </c>
      <c r="B35" s="46" t="s">
        <v>143</v>
      </c>
      <c r="C35" s="57" t="s">
        <v>183</v>
      </c>
      <c r="D35" s="58">
        <v>605</v>
      </c>
      <c r="E35" s="58">
        <v>408.135</v>
      </c>
      <c r="F35" s="59">
        <f t="shared" si="0"/>
        <v>0.674603305785124</v>
      </c>
    </row>
    <row r="36" ht="20.1" customHeight="1" spans="1:6">
      <c r="A36" s="56">
        <v>46169</v>
      </c>
      <c r="B36" s="46" t="s">
        <v>143</v>
      </c>
      <c r="C36" s="57" t="s">
        <v>184</v>
      </c>
      <c r="D36" s="58">
        <v>1348</v>
      </c>
      <c r="E36" s="58">
        <v>597.48</v>
      </c>
      <c r="F36" s="59">
        <f t="shared" si="0"/>
        <v>0.443234421364985</v>
      </c>
    </row>
    <row r="37" ht="20.1" customHeight="1" spans="1:6">
      <c r="A37" s="56">
        <v>46169</v>
      </c>
      <c r="B37" s="46" t="s">
        <v>143</v>
      </c>
      <c r="C37" s="57" t="s">
        <v>185</v>
      </c>
      <c r="D37" s="58">
        <v>984</v>
      </c>
      <c r="E37" s="58">
        <v>449.77</v>
      </c>
      <c r="F37" s="59">
        <f t="shared" si="0"/>
        <v>0.457083333333333</v>
      </c>
    </row>
    <row r="38" ht="20.1" customHeight="1" spans="1:6">
      <c r="A38" s="56">
        <v>46169</v>
      </c>
      <c r="B38" s="46" t="s">
        <v>143</v>
      </c>
      <c r="C38" s="57" t="s">
        <v>186</v>
      </c>
      <c r="D38" s="58">
        <v>1061</v>
      </c>
      <c r="E38" s="58">
        <v>257.14</v>
      </c>
      <c r="F38" s="59">
        <f t="shared" si="0"/>
        <v>0.242356267672008</v>
      </c>
    </row>
    <row r="39" ht="20.1" customHeight="1" spans="1:6">
      <c r="A39" s="56">
        <v>46169</v>
      </c>
      <c r="B39" s="46" t="s">
        <v>143</v>
      </c>
      <c r="C39" s="57" t="s">
        <v>187</v>
      </c>
      <c r="D39" s="58">
        <v>1048</v>
      </c>
      <c r="E39" s="58">
        <v>507.795</v>
      </c>
      <c r="F39" s="59">
        <f t="shared" si="0"/>
        <v>0.484537213740458</v>
      </c>
    </row>
    <row r="40" ht="20.1" customHeight="1" spans="1:6">
      <c r="A40" s="56">
        <v>46169</v>
      </c>
      <c r="B40" s="46" t="s">
        <v>146</v>
      </c>
      <c r="C40" s="57" t="s">
        <v>188</v>
      </c>
      <c r="D40" s="58">
        <v>180</v>
      </c>
      <c r="E40" s="58">
        <v>181.896</v>
      </c>
      <c r="F40" s="59">
        <f t="shared" si="0"/>
        <v>1.01053333333333</v>
      </c>
    </row>
    <row r="41" ht="20.1" customHeight="1" spans="1:6">
      <c r="A41" s="56">
        <v>46169</v>
      </c>
      <c r="B41" s="46" t="s">
        <v>146</v>
      </c>
      <c r="C41" s="57" t="s">
        <v>189</v>
      </c>
      <c r="D41" s="58">
        <v>650</v>
      </c>
      <c r="E41" s="58">
        <v>63.168</v>
      </c>
      <c r="F41" s="59">
        <f t="shared" si="0"/>
        <v>0.0971815384615385</v>
      </c>
    </row>
    <row r="42" ht="20.1" customHeight="1" spans="1:6">
      <c r="A42" s="56">
        <v>46169</v>
      </c>
      <c r="B42" s="46" t="s">
        <v>146</v>
      </c>
      <c r="C42" s="57" t="s">
        <v>189</v>
      </c>
      <c r="D42" s="58">
        <v>305</v>
      </c>
      <c r="E42" s="58">
        <v>201.01</v>
      </c>
      <c r="F42" s="59">
        <f t="shared" si="0"/>
        <v>0.659049180327869</v>
      </c>
    </row>
    <row r="43" ht="20.1" customHeight="1" spans="1:6">
      <c r="A43" s="56">
        <v>46169</v>
      </c>
      <c r="B43" s="46" t="s">
        <v>146</v>
      </c>
      <c r="C43" s="57" t="s">
        <v>190</v>
      </c>
      <c r="D43" s="58">
        <v>461</v>
      </c>
      <c r="E43" s="58">
        <v>388.8054</v>
      </c>
      <c r="F43" s="59">
        <f t="shared" si="0"/>
        <v>0.843395661605206</v>
      </c>
    </row>
    <row r="44" ht="20.1" customHeight="1" spans="1:6">
      <c r="A44" s="56">
        <v>46169</v>
      </c>
      <c r="B44" s="46" t="s">
        <v>146</v>
      </c>
      <c r="C44" s="57" t="s">
        <v>191</v>
      </c>
      <c r="D44" s="58">
        <v>494</v>
      </c>
      <c r="E44" s="58">
        <v>156.76</v>
      </c>
      <c r="F44" s="59">
        <f t="shared" si="0"/>
        <v>0.317327935222672</v>
      </c>
    </row>
    <row r="45" ht="20.1" customHeight="1" spans="1:6">
      <c r="A45" s="56">
        <v>46169</v>
      </c>
      <c r="B45" s="46" t="s">
        <v>146</v>
      </c>
      <c r="C45" s="57" t="s">
        <v>192</v>
      </c>
      <c r="D45" s="58">
        <v>657</v>
      </c>
      <c r="E45" s="58">
        <v>482.79</v>
      </c>
      <c r="F45" s="59">
        <f t="shared" si="0"/>
        <v>0.734840182648402</v>
      </c>
    </row>
    <row r="46" ht="20.1" customHeight="1" spans="1:6">
      <c r="A46" s="56">
        <v>46169</v>
      </c>
      <c r="B46" s="46" t="s">
        <v>146</v>
      </c>
      <c r="C46" s="57" t="s">
        <v>193</v>
      </c>
      <c r="D46" s="58">
        <v>728</v>
      </c>
      <c r="E46" s="58">
        <v>839.275</v>
      </c>
      <c r="F46" s="59">
        <f t="shared" si="0"/>
        <v>1.15285027472527</v>
      </c>
    </row>
    <row r="47" ht="20.1" customHeight="1" spans="1:6">
      <c r="A47" s="56">
        <v>46169</v>
      </c>
      <c r="B47" s="46" t="s">
        <v>146</v>
      </c>
      <c r="C47" s="57" t="s">
        <v>194</v>
      </c>
      <c r="D47" s="58">
        <v>422</v>
      </c>
      <c r="E47" s="58">
        <v>135.168</v>
      </c>
      <c r="F47" s="59">
        <f t="shared" si="0"/>
        <v>0.320303317535545</v>
      </c>
    </row>
    <row r="48" ht="20.1" customHeight="1" spans="1:6">
      <c r="A48" s="56">
        <v>46169</v>
      </c>
      <c r="B48" s="46" t="s">
        <v>146</v>
      </c>
      <c r="C48" s="57" t="s">
        <v>195</v>
      </c>
      <c r="D48" s="58">
        <v>480</v>
      </c>
      <c r="E48" s="58">
        <v>208.425</v>
      </c>
      <c r="F48" s="59">
        <f t="shared" si="0"/>
        <v>0.43421875</v>
      </c>
    </row>
    <row r="49" ht="20.1" customHeight="1" spans="1:6">
      <c r="A49" s="56">
        <v>46169</v>
      </c>
      <c r="B49" s="46" t="s">
        <v>146</v>
      </c>
      <c r="C49" s="57" t="s">
        <v>196</v>
      </c>
      <c r="D49" s="58">
        <v>688</v>
      </c>
      <c r="E49" s="58">
        <v>567.385</v>
      </c>
      <c r="F49" s="59">
        <f t="shared" si="0"/>
        <v>0.8246875</v>
      </c>
    </row>
    <row r="50" ht="20.1" customHeight="1" spans="1:6">
      <c r="A50" s="56">
        <v>46169</v>
      </c>
      <c r="B50" s="46" t="s">
        <v>146</v>
      </c>
      <c r="C50" s="57" t="s">
        <v>197</v>
      </c>
      <c r="D50" s="58">
        <v>280</v>
      </c>
      <c r="E50" s="58">
        <v>156.0793</v>
      </c>
      <c r="F50" s="59">
        <f t="shared" si="0"/>
        <v>0.557426071428571</v>
      </c>
    </row>
    <row r="51" ht="20.1" customHeight="1" spans="1:6">
      <c r="A51" s="56">
        <v>46169</v>
      </c>
      <c r="B51" s="46" t="s">
        <v>146</v>
      </c>
      <c r="C51" s="57" t="s">
        <v>198</v>
      </c>
      <c r="D51" s="58">
        <v>240</v>
      </c>
      <c r="E51" s="58">
        <v>204.032</v>
      </c>
      <c r="F51" s="59">
        <f t="shared" si="0"/>
        <v>0.850133333333333</v>
      </c>
    </row>
    <row r="52" ht="20.1" customHeight="1" spans="1:6">
      <c r="A52" s="56">
        <v>46169</v>
      </c>
      <c r="B52" s="46" t="s">
        <v>146</v>
      </c>
      <c r="C52" s="57" t="s">
        <v>199</v>
      </c>
      <c r="D52" s="58">
        <v>220</v>
      </c>
      <c r="E52" s="58">
        <v>202.272</v>
      </c>
      <c r="F52" s="59">
        <f t="shared" si="0"/>
        <v>0.919418181818182</v>
      </c>
    </row>
    <row r="53" ht="20.1" customHeight="1" spans="1:6">
      <c r="A53" s="56">
        <v>46169</v>
      </c>
      <c r="B53" s="46" t="s">
        <v>145</v>
      </c>
      <c r="C53" s="57" t="s">
        <v>200</v>
      </c>
      <c r="D53" s="58">
        <v>373</v>
      </c>
      <c r="E53" s="58">
        <v>343.2</v>
      </c>
      <c r="F53" s="59">
        <f t="shared" si="0"/>
        <v>0.920107238605898</v>
      </c>
    </row>
    <row r="54" ht="20.1" customHeight="1" spans="1:6">
      <c r="A54" s="56">
        <v>46169</v>
      </c>
      <c r="B54" s="46" t="s">
        <v>145</v>
      </c>
      <c r="C54" s="57" t="s">
        <v>201</v>
      </c>
      <c r="D54" s="58">
        <v>436</v>
      </c>
      <c r="E54" s="58">
        <v>343.75</v>
      </c>
      <c r="F54" s="59">
        <f t="shared" si="0"/>
        <v>0.788417431192661</v>
      </c>
    </row>
    <row r="55" ht="20.1" customHeight="1" spans="1:6">
      <c r="A55" s="56">
        <v>46169</v>
      </c>
      <c r="B55" s="46" t="s">
        <v>145</v>
      </c>
      <c r="C55" s="57" t="s">
        <v>202</v>
      </c>
      <c r="D55" s="58" t="s">
        <v>15</v>
      </c>
      <c r="E55" s="58" t="s">
        <v>15</v>
      </c>
      <c r="F55" s="59" t="str">
        <f t="shared" si="0"/>
        <v>-</v>
      </c>
    </row>
    <row r="56" ht="20.1" customHeight="1" spans="1:6">
      <c r="A56" s="56">
        <v>46169</v>
      </c>
      <c r="B56" s="46" t="s">
        <v>145</v>
      </c>
      <c r="C56" s="57" t="s">
        <v>203</v>
      </c>
      <c r="D56" s="58">
        <v>448</v>
      </c>
      <c r="E56" s="58">
        <v>448.286</v>
      </c>
      <c r="F56" s="59">
        <f t="shared" si="0"/>
        <v>1.00063839285714</v>
      </c>
    </row>
    <row r="57" ht="20.1" customHeight="1" spans="1:6">
      <c r="A57" s="56">
        <v>46169</v>
      </c>
      <c r="B57" s="26" t="s">
        <v>142</v>
      </c>
      <c r="C57" s="57" t="s">
        <v>204</v>
      </c>
      <c r="D57" s="58">
        <v>507</v>
      </c>
      <c r="E57" s="58">
        <v>654.72</v>
      </c>
      <c r="F57" s="59">
        <f t="shared" si="0"/>
        <v>1.29136094674556</v>
      </c>
    </row>
    <row r="58" ht="20.1" customHeight="1" spans="1:6">
      <c r="A58" s="56">
        <v>46169</v>
      </c>
      <c r="B58" s="26" t="s">
        <v>142</v>
      </c>
      <c r="C58" s="57" t="s">
        <v>205</v>
      </c>
      <c r="D58" s="58">
        <v>1806</v>
      </c>
      <c r="E58" s="58">
        <v>1584.6</v>
      </c>
      <c r="F58" s="59">
        <f t="shared" si="0"/>
        <v>0.877408637873754</v>
      </c>
    </row>
    <row r="59" ht="20.1" customHeight="1" spans="1:6">
      <c r="A59" s="56">
        <v>46169</v>
      </c>
      <c r="B59" s="46" t="s">
        <v>147</v>
      </c>
      <c r="C59" s="57" t="s">
        <v>206</v>
      </c>
      <c r="D59" s="58">
        <v>819</v>
      </c>
      <c r="E59" s="58">
        <v>63.656</v>
      </c>
      <c r="F59" s="59">
        <f t="shared" si="0"/>
        <v>0.0777240537240537</v>
      </c>
    </row>
    <row r="60" ht="20.1" customHeight="1" spans="1:6">
      <c r="A60" s="56">
        <v>46169</v>
      </c>
      <c r="B60" s="46" t="s">
        <v>147</v>
      </c>
      <c r="C60" s="57" t="s">
        <v>207</v>
      </c>
      <c r="D60" s="58">
        <v>469</v>
      </c>
      <c r="E60" s="58">
        <v>211.9</v>
      </c>
      <c r="F60" s="59">
        <f t="shared" si="0"/>
        <v>0.45181236673774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workbookViewId="0">
      <selection activeCell="F21" sqref="F21"/>
    </sheetView>
  </sheetViews>
  <sheetFormatPr defaultColWidth="9" defaultRowHeight="15"/>
  <cols>
    <col min="1" max="1" width="4.28571428571429" style="2" customWidth="1"/>
    <col min="2" max="2" width="18.8571428571429" customWidth="1"/>
    <col min="3" max="3" width="17.7142857142857" customWidth="1"/>
    <col min="5" max="5" width="13.8571428571429" customWidth="1"/>
    <col min="6" max="6" width="25" customWidth="1"/>
    <col min="7" max="7" width="9.57142857142857" customWidth="1"/>
    <col min="9" max="9" width="4.28571428571429" style="2" customWidth="1"/>
    <col min="10" max="10" width="18" customWidth="1"/>
    <col min="11" max="11" width="14.2857142857143" customWidth="1"/>
  </cols>
  <sheetData>
    <row r="1" spans="1:11">
      <c r="A1" s="45" t="s">
        <v>3</v>
      </c>
      <c r="B1" s="46" t="s">
        <v>208</v>
      </c>
      <c r="C1" s="45" t="s">
        <v>209</v>
      </c>
      <c r="E1" s="16" t="s">
        <v>210</v>
      </c>
      <c r="F1" s="9">
        <f>COUNTIF(C2:C54,E1)</f>
        <v>42</v>
      </c>
      <c r="I1" s="2" t="s">
        <v>211</v>
      </c>
      <c r="J1" s="2"/>
      <c r="K1" s="2"/>
    </row>
    <row r="2" spans="1:11">
      <c r="A2" s="45">
        <v>1</v>
      </c>
      <c r="B2" s="47" t="s">
        <v>155</v>
      </c>
      <c r="C2" s="46" t="s">
        <v>210</v>
      </c>
      <c r="E2" s="16" t="s">
        <v>212</v>
      </c>
      <c r="F2" s="9">
        <f>COUNTIF(C2:C55,E2)</f>
        <v>3</v>
      </c>
      <c r="I2" s="2" t="s">
        <v>3</v>
      </c>
      <c r="J2" t="s">
        <v>213</v>
      </c>
      <c r="K2" t="s">
        <v>214</v>
      </c>
    </row>
    <row r="3" spans="1:11">
      <c r="A3" s="45">
        <v>2</v>
      </c>
      <c r="B3" s="47" t="s">
        <v>156</v>
      </c>
      <c r="C3" s="46" t="s">
        <v>210</v>
      </c>
      <c r="E3" s="16" t="s">
        <v>215</v>
      </c>
      <c r="F3" s="9">
        <f>COUNTIF(C2:C56,E3)</f>
        <v>8</v>
      </c>
      <c r="I3" s="2">
        <v>1</v>
      </c>
      <c r="J3" t="s">
        <v>216</v>
      </c>
      <c r="K3" t="s">
        <v>210</v>
      </c>
    </row>
    <row r="4" spans="1:11">
      <c r="A4" s="45">
        <v>3</v>
      </c>
      <c r="B4" s="47" t="s">
        <v>157</v>
      </c>
      <c r="C4" s="46" t="s">
        <v>210</v>
      </c>
      <c r="E4" s="16" t="s">
        <v>217</v>
      </c>
      <c r="F4" s="9">
        <f>SUM(F1:F3)</f>
        <v>53</v>
      </c>
      <c r="I4" s="2">
        <v>2</v>
      </c>
      <c r="J4" t="s">
        <v>218</v>
      </c>
      <c r="K4" t="s">
        <v>210</v>
      </c>
    </row>
    <row r="5" spans="1:11">
      <c r="A5" s="45">
        <v>4</v>
      </c>
      <c r="B5" s="47" t="s">
        <v>158</v>
      </c>
      <c r="C5" s="46" t="s">
        <v>210</v>
      </c>
      <c r="I5" s="2">
        <v>3</v>
      </c>
      <c r="J5" t="s">
        <v>219</v>
      </c>
      <c r="K5" t="s">
        <v>210</v>
      </c>
    </row>
    <row r="6" spans="1:11">
      <c r="A6" s="45">
        <v>5</v>
      </c>
      <c r="B6" s="47" t="s">
        <v>159</v>
      </c>
      <c r="C6" s="46" t="s">
        <v>210</v>
      </c>
      <c r="I6" s="2">
        <v>4</v>
      </c>
      <c r="J6" t="s">
        <v>220</v>
      </c>
      <c r="K6" t="s">
        <v>212</v>
      </c>
    </row>
    <row r="7" spans="1:11">
      <c r="A7" s="45">
        <v>6</v>
      </c>
      <c r="B7" s="47" t="s">
        <v>160</v>
      </c>
      <c r="C7" s="46" t="s">
        <v>210</v>
      </c>
      <c r="I7" s="2">
        <v>5</v>
      </c>
      <c r="J7" t="s">
        <v>221</v>
      </c>
      <c r="K7" t="s">
        <v>210</v>
      </c>
    </row>
    <row r="8" spans="1:11">
      <c r="A8" s="45">
        <v>7</v>
      </c>
      <c r="B8" s="47" t="s">
        <v>161</v>
      </c>
      <c r="C8" s="46" t="s">
        <v>210</v>
      </c>
      <c r="I8" s="2">
        <v>6</v>
      </c>
      <c r="J8" s="48" t="s">
        <v>222</v>
      </c>
      <c r="K8" s="48" t="s">
        <v>223</v>
      </c>
    </row>
    <row r="9" spans="1:11">
      <c r="A9" s="45">
        <v>8</v>
      </c>
      <c r="B9" s="47" t="s">
        <v>162</v>
      </c>
      <c r="C9" s="46" t="s">
        <v>210</v>
      </c>
      <c r="F9" s="46" t="s">
        <v>224</v>
      </c>
      <c r="G9" s="46" t="s">
        <v>225</v>
      </c>
    </row>
    <row r="10" spans="1:11">
      <c r="A10" s="45">
        <v>9</v>
      </c>
      <c r="B10" s="47" t="s">
        <v>163</v>
      </c>
      <c r="C10" s="46" t="s">
        <v>210</v>
      </c>
      <c r="F10" s="47" t="s">
        <v>163</v>
      </c>
      <c r="G10" s="49">
        <v>0.104166666666667</v>
      </c>
    </row>
    <row r="11" spans="1:11">
      <c r="A11" s="45">
        <v>10</v>
      </c>
      <c r="B11" s="47" t="s">
        <v>164</v>
      </c>
      <c r="C11" s="46" t="s">
        <v>210</v>
      </c>
      <c r="F11" s="47" t="s">
        <v>164</v>
      </c>
      <c r="G11" s="49">
        <v>0.10625</v>
      </c>
    </row>
    <row r="12" spans="1:11">
      <c r="A12" s="45">
        <v>11</v>
      </c>
      <c r="B12" s="47" t="s">
        <v>165</v>
      </c>
      <c r="C12" s="46" t="s">
        <v>210</v>
      </c>
      <c r="F12" s="47" t="s">
        <v>165</v>
      </c>
      <c r="G12" s="49">
        <v>0.0729166666666667</v>
      </c>
    </row>
    <row r="13" spans="1:11">
      <c r="A13" s="45">
        <v>12</v>
      </c>
      <c r="B13" s="47" t="s">
        <v>166</v>
      </c>
      <c r="C13" s="46" t="s">
        <v>210</v>
      </c>
      <c r="F13" s="47" t="s">
        <v>166</v>
      </c>
      <c r="G13" s="49">
        <v>0.15625</v>
      </c>
    </row>
    <row r="14" spans="1:11">
      <c r="A14" s="45">
        <v>13</v>
      </c>
      <c r="B14" s="47" t="s">
        <v>167</v>
      </c>
      <c r="C14" s="46" t="s">
        <v>210</v>
      </c>
      <c r="F14" s="47" t="s">
        <v>167</v>
      </c>
      <c r="G14" s="49">
        <v>0.0347222222222222</v>
      </c>
    </row>
    <row r="15" spans="1:11">
      <c r="A15" s="45">
        <v>14</v>
      </c>
      <c r="B15" s="47" t="s">
        <v>168</v>
      </c>
      <c r="C15" s="46" t="s">
        <v>210</v>
      </c>
      <c r="F15" s="46" t="s">
        <v>226</v>
      </c>
      <c r="G15" s="49">
        <v>0.134722222222222</v>
      </c>
    </row>
    <row r="16" spans="1:11">
      <c r="A16" s="45">
        <v>15</v>
      </c>
      <c r="B16" s="47" t="s">
        <v>169</v>
      </c>
      <c r="C16" s="46" t="s">
        <v>210</v>
      </c>
      <c r="F16" s="46" t="s">
        <v>36</v>
      </c>
      <c r="G16" s="49">
        <v>0.0958333333333333</v>
      </c>
    </row>
    <row r="17" spans="1:7">
      <c r="A17" s="45">
        <v>16</v>
      </c>
      <c r="B17" s="47" t="s">
        <v>170</v>
      </c>
      <c r="C17" s="46" t="s">
        <v>210</v>
      </c>
      <c r="F17" s="46" t="s">
        <v>227</v>
      </c>
      <c r="G17" s="49">
        <v>0.136805555555556</v>
      </c>
    </row>
    <row r="18" spans="1:7">
      <c r="A18" s="45">
        <v>17</v>
      </c>
      <c r="B18" s="47" t="s">
        <v>171</v>
      </c>
      <c r="C18" s="46" t="s">
        <v>210</v>
      </c>
      <c r="F18" s="46" t="s">
        <v>228</v>
      </c>
      <c r="G18" s="49">
        <v>0.0416666666666667</v>
      </c>
    </row>
    <row r="19" spans="1:7">
      <c r="A19" s="45">
        <v>18</v>
      </c>
      <c r="B19" s="47" t="s">
        <v>172</v>
      </c>
      <c r="C19" s="46" t="s">
        <v>210</v>
      </c>
      <c r="F19" s="46" t="s">
        <v>229</v>
      </c>
      <c r="G19" s="49">
        <v>0.0833333333333333</v>
      </c>
    </row>
    <row r="20" spans="1:7">
      <c r="A20" s="45">
        <v>19</v>
      </c>
      <c r="B20" s="47" t="s">
        <v>173</v>
      </c>
      <c r="C20" s="46" t="s">
        <v>210</v>
      </c>
      <c r="F20" s="46" t="s">
        <v>230</v>
      </c>
      <c r="G20" s="49">
        <v>0.5</v>
      </c>
    </row>
    <row r="21" spans="1:7">
      <c r="A21" s="45">
        <v>20</v>
      </c>
      <c r="B21" s="47" t="s">
        <v>174</v>
      </c>
      <c r="C21" s="46" t="s">
        <v>210</v>
      </c>
      <c r="F21" s="46" t="s">
        <v>231</v>
      </c>
      <c r="G21" s="49">
        <f>IFERROR(AVERAGE(G10:G20),"-")</f>
        <v>0.133333333333333</v>
      </c>
    </row>
    <row r="22" spans="1:7">
      <c r="A22" s="45">
        <v>21</v>
      </c>
      <c r="B22" s="47" t="s">
        <v>175</v>
      </c>
      <c r="C22" s="46" t="s">
        <v>210</v>
      </c>
    </row>
    <row r="23" spans="1:7">
      <c r="A23" s="45">
        <v>22</v>
      </c>
      <c r="B23" s="47" t="s">
        <v>176</v>
      </c>
      <c r="C23" s="46" t="s">
        <v>210</v>
      </c>
    </row>
    <row r="24" spans="1:7">
      <c r="A24" s="45">
        <v>23</v>
      </c>
      <c r="B24" s="47" t="s">
        <v>177</v>
      </c>
      <c r="C24" s="46" t="s">
        <v>210</v>
      </c>
    </row>
    <row r="25" spans="1:7">
      <c r="A25" s="45">
        <v>24</v>
      </c>
      <c r="B25" s="47" t="s">
        <v>178</v>
      </c>
      <c r="C25" s="46" t="s">
        <v>210</v>
      </c>
    </row>
    <row r="26" spans="1:7">
      <c r="A26" s="45">
        <v>25</v>
      </c>
      <c r="B26" s="47" t="s">
        <v>179</v>
      </c>
      <c r="C26" s="46" t="s">
        <v>210</v>
      </c>
    </row>
    <row r="27" spans="1:7">
      <c r="A27" s="45">
        <v>26</v>
      </c>
      <c r="B27" s="47" t="s">
        <v>180</v>
      </c>
      <c r="C27" s="46" t="s">
        <v>210</v>
      </c>
    </row>
    <row r="28" spans="1:7">
      <c r="A28" s="45">
        <v>27</v>
      </c>
      <c r="B28" s="47" t="s">
        <v>181</v>
      </c>
      <c r="C28" s="46" t="s">
        <v>210</v>
      </c>
    </row>
    <row r="29" spans="1:7">
      <c r="A29" s="45">
        <v>28</v>
      </c>
      <c r="B29" s="47" t="s">
        <v>182</v>
      </c>
      <c r="C29" s="46" t="s">
        <v>210</v>
      </c>
    </row>
    <row r="30" spans="1:7">
      <c r="A30" s="45">
        <v>29</v>
      </c>
      <c r="B30" s="47" t="s">
        <v>183</v>
      </c>
      <c r="C30" s="46" t="s">
        <v>210</v>
      </c>
    </row>
    <row r="31" spans="1:7">
      <c r="A31" s="45">
        <v>30</v>
      </c>
      <c r="B31" s="47" t="s">
        <v>184</v>
      </c>
      <c r="C31" s="46" t="s">
        <v>210</v>
      </c>
    </row>
    <row r="32" spans="1:7">
      <c r="A32" s="45">
        <v>31</v>
      </c>
      <c r="B32" s="47" t="s">
        <v>185</v>
      </c>
      <c r="C32" s="46" t="s">
        <v>215</v>
      </c>
    </row>
    <row r="33" spans="1:3">
      <c r="A33" s="45">
        <v>32</v>
      </c>
      <c r="B33" s="47" t="s">
        <v>186</v>
      </c>
      <c r="C33" s="46" t="s">
        <v>215</v>
      </c>
    </row>
    <row r="34" spans="1:3">
      <c r="A34" s="45">
        <v>33</v>
      </c>
      <c r="B34" s="47" t="s">
        <v>187</v>
      </c>
      <c r="C34" s="46" t="s">
        <v>215</v>
      </c>
    </row>
    <row r="35" spans="1:3">
      <c r="A35" s="45">
        <v>34</v>
      </c>
      <c r="B35" s="47" t="s">
        <v>188</v>
      </c>
      <c r="C35" s="46" t="s">
        <v>215</v>
      </c>
    </row>
    <row r="36" spans="1:3">
      <c r="A36" s="45">
        <v>35</v>
      </c>
      <c r="B36" s="47" t="s">
        <v>189</v>
      </c>
      <c r="C36" s="46" t="s">
        <v>215</v>
      </c>
    </row>
    <row r="37" spans="1:3">
      <c r="A37" s="45">
        <v>36</v>
      </c>
      <c r="B37" s="47" t="s">
        <v>190</v>
      </c>
      <c r="C37" s="46" t="s">
        <v>215</v>
      </c>
    </row>
    <row r="38" spans="1:3">
      <c r="A38" s="45">
        <v>37</v>
      </c>
      <c r="B38" s="47" t="s">
        <v>191</v>
      </c>
      <c r="C38" s="46" t="s">
        <v>215</v>
      </c>
    </row>
    <row r="39" spans="1:3">
      <c r="A39" s="45">
        <v>38</v>
      </c>
      <c r="B39" s="47" t="s">
        <v>192</v>
      </c>
      <c r="C39" s="46" t="s">
        <v>215</v>
      </c>
    </row>
    <row r="40" spans="1:3">
      <c r="A40" s="45">
        <v>39</v>
      </c>
      <c r="B40" s="47" t="s">
        <v>193</v>
      </c>
      <c r="C40" s="46" t="s">
        <v>210</v>
      </c>
    </row>
    <row r="41" spans="1:3">
      <c r="A41" s="45">
        <v>40</v>
      </c>
      <c r="B41" s="47" t="s">
        <v>194</v>
      </c>
      <c r="C41" s="46" t="s">
        <v>210</v>
      </c>
    </row>
    <row r="42" spans="1:3">
      <c r="A42" s="45">
        <v>41</v>
      </c>
      <c r="B42" s="47" t="s">
        <v>195</v>
      </c>
      <c r="C42" s="46" t="s">
        <v>210</v>
      </c>
    </row>
    <row r="43" spans="1:3">
      <c r="A43" s="45">
        <v>42</v>
      </c>
      <c r="B43" s="47" t="s">
        <v>196</v>
      </c>
      <c r="C43" s="46" t="s">
        <v>210</v>
      </c>
    </row>
    <row r="44" spans="1:3">
      <c r="A44" s="45">
        <v>43</v>
      </c>
      <c r="B44" s="47" t="s">
        <v>197</v>
      </c>
      <c r="C44" s="46" t="s">
        <v>210</v>
      </c>
    </row>
    <row r="45" spans="1:3">
      <c r="A45" s="45">
        <v>44</v>
      </c>
      <c r="B45" s="47" t="s">
        <v>198</v>
      </c>
      <c r="C45" s="46" t="s">
        <v>210</v>
      </c>
    </row>
    <row r="46" spans="1:3">
      <c r="A46" s="45">
        <v>45</v>
      </c>
      <c r="B46" s="47" t="s">
        <v>199</v>
      </c>
      <c r="C46" s="46" t="s">
        <v>210</v>
      </c>
    </row>
    <row r="47" spans="1:3">
      <c r="A47" s="45">
        <v>46</v>
      </c>
      <c r="B47" s="47" t="s">
        <v>200</v>
      </c>
      <c r="C47" s="46" t="s">
        <v>210</v>
      </c>
    </row>
    <row r="48" spans="1:3">
      <c r="A48" s="45">
        <v>47</v>
      </c>
      <c r="B48" s="47" t="s">
        <v>201</v>
      </c>
      <c r="C48" s="46" t="s">
        <v>210</v>
      </c>
    </row>
    <row r="49" spans="1:3">
      <c r="A49" s="45">
        <v>48</v>
      </c>
      <c r="B49" s="47" t="s">
        <v>202</v>
      </c>
      <c r="C49" s="46" t="s">
        <v>212</v>
      </c>
    </row>
    <row r="50" spans="1:3">
      <c r="A50" s="45">
        <v>49</v>
      </c>
      <c r="B50" s="47" t="s">
        <v>203</v>
      </c>
      <c r="C50" s="46" t="s">
        <v>212</v>
      </c>
    </row>
    <row r="51" spans="1:3">
      <c r="A51" s="45">
        <v>50</v>
      </c>
      <c r="B51" s="50" t="s">
        <v>206</v>
      </c>
      <c r="C51" s="46" t="s">
        <v>212</v>
      </c>
    </row>
    <row r="52" spans="1:3">
      <c r="A52" s="45">
        <v>51</v>
      </c>
      <c r="B52" s="50" t="s">
        <v>207</v>
      </c>
      <c r="C52" s="46" t="s">
        <v>210</v>
      </c>
    </row>
    <row r="53" spans="1:3">
      <c r="A53" s="45">
        <v>52</v>
      </c>
      <c r="B53" s="50" t="s">
        <v>204</v>
      </c>
      <c r="C53" s="46" t="s">
        <v>210</v>
      </c>
    </row>
    <row r="54" spans="1:3">
      <c r="A54" s="45">
        <v>53</v>
      </c>
      <c r="B54" s="50" t="s">
        <v>205</v>
      </c>
      <c r="C54" s="46" t="s">
        <v>210</v>
      </c>
    </row>
  </sheetData>
  <mergeCells count="1">
    <mergeCell ref="I1:K1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0"/>
  <sheetViews>
    <sheetView topLeftCell="A112" workbookViewId="0">
      <selection activeCell="A3" sqref="A3:A128"/>
    </sheetView>
  </sheetViews>
  <sheetFormatPr defaultColWidth="9" defaultRowHeight="15"/>
  <cols>
    <col min="1" max="1" width="12.5714285714286" customWidth="1"/>
    <col min="2" max="2" width="51.1428571428571" customWidth="1"/>
    <col min="3" max="3" width="7.42857142857143" customWidth="1"/>
    <col min="4" max="5" width="9.71428571428571" customWidth="1"/>
    <col min="6" max="6" width="8.57142857142857" customWidth="1"/>
    <col min="7" max="7" width="10.2857142857143" customWidth="1"/>
    <col min="12" max="12" width="13" customWidth="1"/>
    <col min="13" max="13" width="10" customWidth="1"/>
  </cols>
  <sheetData>
    <row r="1" ht="20.1" customHeight="1" spans="1:13">
      <c r="A1" s="22">
        <f ca="1">TODAY()-1</f>
        <v>46169</v>
      </c>
      <c r="E1" s="40">
        <f ca="1">SUMIF(A3:A300,A1,E3:E300)</f>
        <v>23793.3859</v>
      </c>
      <c r="F1" s="7"/>
      <c r="G1" s="32">
        <f ca="1">SUMIF(A3:A300,A1,G3:G300)</f>
        <v>16388.3704</v>
      </c>
      <c r="L1" s="41" t="s">
        <v>232</v>
      </c>
      <c r="M1" s="42">
        <v>30000</v>
      </c>
    </row>
    <row r="2" s="30" customFormat="1" ht="30" spans="1:13">
      <c r="A2" s="33" t="s">
        <v>149</v>
      </c>
      <c r="B2" s="33" t="s">
        <v>4</v>
      </c>
      <c r="C2" s="33" t="s">
        <v>6</v>
      </c>
      <c r="D2" s="33" t="s">
        <v>233</v>
      </c>
      <c r="E2" s="33" t="s">
        <v>234</v>
      </c>
      <c r="F2" s="33" t="s">
        <v>235</v>
      </c>
      <c r="G2" s="33" t="s">
        <v>236</v>
      </c>
    </row>
    <row r="3" s="7" customFormat="1" ht="20.1" customHeight="1" spans="1:13">
      <c r="A3" s="34">
        <v>46169</v>
      </c>
      <c r="B3" s="35" t="s">
        <v>9</v>
      </c>
      <c r="C3" s="35">
        <f>_xlfn.XLOOKUP(B3,'Prod FG'!B:B,'Prod FG'!C:C,"-")</f>
        <v>0.3905</v>
      </c>
      <c r="D3" s="36">
        <v>0</v>
      </c>
      <c r="E3" s="37">
        <f t="shared" ref="E3:E66" si="0">IFERROR(D3*C3,"-")</f>
        <v>0</v>
      </c>
      <c r="F3" s="36">
        <v>312</v>
      </c>
      <c r="G3" s="37">
        <f t="shared" ref="G3:G66" si="1">IFERROR(F3*C3,"-")</f>
        <v>121.836</v>
      </c>
    </row>
    <row r="4" s="7" customFormat="1" ht="20.1" customHeight="1" spans="1:13">
      <c r="A4" s="34">
        <v>46169</v>
      </c>
      <c r="B4" s="35" t="s">
        <v>11</v>
      </c>
      <c r="C4" s="35">
        <f>_xlfn.XLOOKUP(B4,'Prod FG'!B:B,'Prod FG'!C:C,"-")</f>
        <v>0.4788</v>
      </c>
      <c r="D4" s="36">
        <v>0</v>
      </c>
      <c r="E4" s="37">
        <f t="shared" si="0"/>
        <v>0</v>
      </c>
      <c r="F4" s="36">
        <v>36</v>
      </c>
      <c r="G4" s="37">
        <f t="shared" si="1"/>
        <v>17.2368</v>
      </c>
      <c r="L4" s="35" t="s">
        <v>237</v>
      </c>
      <c r="M4" s="43">
        <f ca="1">E1</f>
        <v>23793.3859</v>
      </c>
    </row>
    <row r="5" s="7" customFormat="1" ht="20.1" customHeight="1" spans="1:13">
      <c r="A5" s="34">
        <v>46169</v>
      </c>
      <c r="B5" s="35" t="s">
        <v>13</v>
      </c>
      <c r="C5" s="35">
        <f>_xlfn.XLOOKUP(B5,'Prod FG'!B:B,'Prod FG'!C:C,"-")</f>
        <v>0.6475</v>
      </c>
      <c r="D5" s="36">
        <v>0</v>
      </c>
      <c r="E5" s="37">
        <f t="shared" si="0"/>
        <v>0</v>
      </c>
      <c r="F5" s="36">
        <v>48</v>
      </c>
      <c r="G5" s="37">
        <f t="shared" si="1"/>
        <v>31.08</v>
      </c>
      <c r="L5" s="35" t="s">
        <v>238</v>
      </c>
      <c r="M5" s="44">
        <f ca="1">G1</f>
        <v>16388.3704</v>
      </c>
    </row>
    <row r="6" s="7" customFormat="1" ht="20.1" customHeight="1" spans="1:13">
      <c r="A6" s="34">
        <v>46169</v>
      </c>
      <c r="B6" s="35" t="s">
        <v>14</v>
      </c>
      <c r="C6" s="35">
        <f>_xlfn.XLOOKUP(B6,'Prod FG'!B:B,'Prod FG'!C:C,"-")</f>
        <v>0.3685</v>
      </c>
      <c r="D6" s="36">
        <v>0</v>
      </c>
      <c r="E6" s="37">
        <f t="shared" si="0"/>
        <v>0</v>
      </c>
      <c r="F6" s="36">
        <v>0</v>
      </c>
      <c r="G6" s="37">
        <f t="shared" si="1"/>
        <v>0</v>
      </c>
    </row>
    <row r="7" s="7" customFormat="1" ht="20.1" customHeight="1" spans="1:13">
      <c r="A7" s="34">
        <v>46169</v>
      </c>
      <c r="B7" s="35" t="s">
        <v>17</v>
      </c>
      <c r="C7" s="35">
        <f>_xlfn.XLOOKUP(B7,'Prod FG'!B:B,'Prod FG'!C:C,"-")</f>
        <v>0.232</v>
      </c>
      <c r="D7" s="36">
        <v>0</v>
      </c>
      <c r="E7" s="37">
        <f t="shared" si="0"/>
        <v>0</v>
      </c>
      <c r="F7" s="36">
        <v>0</v>
      </c>
      <c r="G7" s="37">
        <f t="shared" si="1"/>
        <v>0</v>
      </c>
    </row>
    <row r="8" s="7" customFormat="1" ht="20.1" customHeight="1" spans="1:13">
      <c r="A8" s="34">
        <v>46169</v>
      </c>
      <c r="B8" s="35" t="s">
        <v>18</v>
      </c>
      <c r="C8" s="35">
        <f>_xlfn.XLOOKUP(B8,'Prod FG'!B:B,'Prod FG'!C:C,"-")</f>
        <v>2.155</v>
      </c>
      <c r="D8" s="36">
        <v>0</v>
      </c>
      <c r="E8" s="37">
        <f t="shared" si="0"/>
        <v>0</v>
      </c>
      <c r="F8" s="36">
        <v>0</v>
      </c>
      <c r="G8" s="37">
        <f t="shared" si="1"/>
        <v>0</v>
      </c>
    </row>
    <row r="9" s="7" customFormat="1" ht="20.1" customHeight="1" spans="1:13">
      <c r="A9" s="34">
        <v>46169</v>
      </c>
      <c r="B9" s="35" t="s">
        <v>19</v>
      </c>
      <c r="C9" s="35">
        <f>_xlfn.XLOOKUP(B9,'Prod FG'!B:B,'Prod FG'!C:C,"-")</f>
        <v>3.05</v>
      </c>
      <c r="D9" s="36">
        <v>0</v>
      </c>
      <c r="E9" s="37">
        <f t="shared" si="0"/>
        <v>0</v>
      </c>
      <c r="F9" s="36">
        <v>0</v>
      </c>
      <c r="G9" s="37">
        <f t="shared" si="1"/>
        <v>0</v>
      </c>
    </row>
    <row r="10" s="7" customFormat="1" ht="20.1" customHeight="1" spans="1:13">
      <c r="A10" s="34">
        <v>46169</v>
      </c>
      <c r="B10" s="35" t="s">
        <v>20</v>
      </c>
      <c r="C10" s="35">
        <f>_xlfn.XLOOKUP(B10,'Prod FG'!B:B,'Prod FG'!C:C,"-")</f>
        <v>1.35</v>
      </c>
      <c r="D10" s="36">
        <v>0</v>
      </c>
      <c r="E10" s="37">
        <f t="shared" si="0"/>
        <v>0</v>
      </c>
      <c r="F10" s="36">
        <v>0</v>
      </c>
      <c r="G10" s="37">
        <f t="shared" si="1"/>
        <v>0</v>
      </c>
    </row>
    <row r="11" s="7" customFormat="1" ht="20.1" customHeight="1" spans="1:13">
      <c r="A11" s="34">
        <v>46169</v>
      </c>
      <c r="B11" s="35" t="s">
        <v>21</v>
      </c>
      <c r="C11" s="35">
        <f>_xlfn.XLOOKUP(B11,'Prod FG'!B:B,'Prod FG'!C:C,"-")</f>
        <v>0.88</v>
      </c>
      <c r="D11" s="36">
        <v>0</v>
      </c>
      <c r="E11" s="37">
        <f t="shared" si="0"/>
        <v>0</v>
      </c>
      <c r="F11" s="36">
        <v>0</v>
      </c>
      <c r="G11" s="37">
        <f t="shared" si="1"/>
        <v>0</v>
      </c>
    </row>
    <row r="12" s="7" customFormat="1" ht="20.1" customHeight="1" spans="1:13">
      <c r="A12" s="34">
        <v>46169</v>
      </c>
      <c r="B12" s="35" t="s">
        <v>22</v>
      </c>
      <c r="C12" s="35">
        <f>_xlfn.XLOOKUP(B12,'Prod FG'!B:B,'Prod FG'!C:C,"-")</f>
        <v>0.58</v>
      </c>
      <c r="D12" s="36">
        <v>0</v>
      </c>
      <c r="E12" s="37">
        <f t="shared" si="0"/>
        <v>0</v>
      </c>
      <c r="F12" s="36">
        <v>0</v>
      </c>
      <c r="G12" s="37">
        <f t="shared" si="1"/>
        <v>0</v>
      </c>
    </row>
    <row r="13" s="7" customFormat="1" ht="20.1" customHeight="1" spans="1:13">
      <c r="A13" s="34">
        <v>46169</v>
      </c>
      <c r="B13" s="35" t="s">
        <v>23</v>
      </c>
      <c r="C13" s="35">
        <f>_xlfn.XLOOKUP(B13,'Prod FG'!B:B,'Prod FG'!C:C,"-")</f>
        <v>0.27</v>
      </c>
      <c r="D13" s="36">
        <v>0</v>
      </c>
      <c r="E13" s="37">
        <f t="shared" si="0"/>
        <v>0</v>
      </c>
      <c r="F13" s="36">
        <v>0</v>
      </c>
      <c r="G13" s="37">
        <f t="shared" si="1"/>
        <v>0</v>
      </c>
    </row>
    <row r="14" s="7" customFormat="1" ht="20.1" customHeight="1" spans="1:13">
      <c r="A14" s="34">
        <v>46169</v>
      </c>
      <c r="B14" s="35" t="s">
        <v>24</v>
      </c>
      <c r="C14" s="35">
        <f>_xlfn.XLOOKUP(B14,'Prod FG'!B:B,'Prod FG'!C:C,"-")</f>
        <v>0.385</v>
      </c>
      <c r="D14" s="36">
        <v>360</v>
      </c>
      <c r="E14" s="37">
        <f t="shared" si="0"/>
        <v>138.6</v>
      </c>
      <c r="F14" s="36">
        <v>0</v>
      </c>
      <c r="G14" s="37">
        <f t="shared" si="1"/>
        <v>0</v>
      </c>
    </row>
    <row r="15" s="7" customFormat="1" ht="20.1" customHeight="1" spans="1:13">
      <c r="A15" s="34">
        <v>46169</v>
      </c>
      <c r="B15" s="35" t="s">
        <v>25</v>
      </c>
      <c r="C15" s="35">
        <f>_xlfn.XLOOKUP(B15,'Prod FG'!B:B,'Prod FG'!C:C,"-")</f>
        <v>1.5</v>
      </c>
      <c r="D15" s="36">
        <v>0</v>
      </c>
      <c r="E15" s="37">
        <f t="shared" si="0"/>
        <v>0</v>
      </c>
      <c r="F15" s="36">
        <v>30</v>
      </c>
      <c r="G15" s="37">
        <f t="shared" si="1"/>
        <v>45</v>
      </c>
    </row>
    <row r="16" s="7" customFormat="1" ht="20.1" customHeight="1" spans="1:13">
      <c r="A16" s="34">
        <v>46169</v>
      </c>
      <c r="B16" s="35" t="s">
        <v>26</v>
      </c>
      <c r="C16" s="35">
        <f>_xlfn.XLOOKUP(B16,'Prod FG'!B:B,'Prod FG'!C:C,"-")</f>
        <v>0.904</v>
      </c>
      <c r="D16" s="36">
        <v>0</v>
      </c>
      <c r="E16" s="37">
        <f t="shared" si="0"/>
        <v>0</v>
      </c>
      <c r="F16" s="36">
        <v>30</v>
      </c>
      <c r="G16" s="37">
        <f t="shared" si="1"/>
        <v>27.12</v>
      </c>
    </row>
    <row r="17" s="7" customFormat="1" ht="20.1" customHeight="1" spans="1:7">
      <c r="A17" s="34">
        <v>46169</v>
      </c>
      <c r="B17" s="35" t="s">
        <v>27</v>
      </c>
      <c r="C17" s="35">
        <f>_xlfn.XLOOKUP(B17,'Prod FG'!B:B,'Prod FG'!C:C,"-")</f>
        <v>0.409</v>
      </c>
      <c r="D17" s="36">
        <v>0</v>
      </c>
      <c r="E17" s="37">
        <f t="shared" si="0"/>
        <v>0</v>
      </c>
      <c r="F17" s="36">
        <v>120</v>
      </c>
      <c r="G17" s="37">
        <f t="shared" si="1"/>
        <v>49.08</v>
      </c>
    </row>
    <row r="18" s="7" customFormat="1" ht="20.1" customHeight="1" spans="1:7">
      <c r="A18" s="34">
        <v>46169</v>
      </c>
      <c r="B18" s="35" t="s">
        <v>28</v>
      </c>
      <c r="C18" s="35">
        <f>_xlfn.XLOOKUP(B18,'Prod FG'!B:B,'Prod FG'!C:C,"-")</f>
        <v>0.806</v>
      </c>
      <c r="D18" s="36">
        <v>0</v>
      </c>
      <c r="E18" s="37">
        <f t="shared" si="0"/>
        <v>0</v>
      </c>
      <c r="F18" s="36">
        <v>120</v>
      </c>
      <c r="G18" s="37">
        <f t="shared" si="1"/>
        <v>96.72</v>
      </c>
    </row>
    <row r="19" s="7" customFormat="1" ht="20.1" customHeight="1" spans="1:7">
      <c r="A19" s="34">
        <v>46169</v>
      </c>
      <c r="B19" s="35" t="s">
        <v>29</v>
      </c>
      <c r="C19" s="35">
        <f>_xlfn.XLOOKUP(B19,'Prod FG'!B:B,'Prod FG'!C:C,"-")</f>
        <v>0.424</v>
      </c>
      <c r="D19" s="36">
        <v>3588</v>
      </c>
      <c r="E19" s="37">
        <f t="shared" si="0"/>
        <v>1521.312</v>
      </c>
      <c r="F19" s="36">
        <v>0</v>
      </c>
      <c r="G19" s="37">
        <f t="shared" si="1"/>
        <v>0</v>
      </c>
    </row>
    <row r="20" s="7" customFormat="1" ht="20.1" customHeight="1" spans="1:7">
      <c r="A20" s="34">
        <v>46169</v>
      </c>
      <c r="B20" s="35" t="s">
        <v>30</v>
      </c>
      <c r="C20" s="35">
        <f>_xlfn.XLOOKUP(B20,'Prod FG'!B:B,'Prod FG'!C:C,"-")</f>
        <v>0.2565</v>
      </c>
      <c r="D20" s="36">
        <v>0</v>
      </c>
      <c r="E20" s="37">
        <f t="shared" si="0"/>
        <v>0</v>
      </c>
      <c r="F20" s="36">
        <v>120</v>
      </c>
      <c r="G20" s="37">
        <f t="shared" si="1"/>
        <v>30.78</v>
      </c>
    </row>
    <row r="21" s="7" customFormat="1" ht="20.1" customHeight="1" spans="1:7">
      <c r="A21" s="34">
        <v>46169</v>
      </c>
      <c r="B21" s="35" t="s">
        <v>31</v>
      </c>
      <c r="C21" s="35">
        <f>_xlfn.XLOOKUP(B21,'Prod FG'!B:B,'Prod FG'!C:C,"-")</f>
        <v>1.5</v>
      </c>
      <c r="D21" s="36">
        <v>0</v>
      </c>
      <c r="E21" s="37">
        <f t="shared" si="0"/>
        <v>0</v>
      </c>
      <c r="F21" s="36">
        <v>0</v>
      </c>
      <c r="G21" s="37">
        <f t="shared" si="1"/>
        <v>0</v>
      </c>
    </row>
    <row r="22" s="7" customFormat="1" ht="20.1" customHeight="1" spans="1:7">
      <c r="A22" s="34">
        <v>46169</v>
      </c>
      <c r="B22" s="35" t="s">
        <v>32</v>
      </c>
      <c r="C22" s="35">
        <f>_xlfn.XLOOKUP(B22,'Prod FG'!B:B,'Prod FG'!C:C,"-")</f>
        <v>0.886</v>
      </c>
      <c r="D22" s="36">
        <v>0</v>
      </c>
      <c r="E22" s="37">
        <f t="shared" si="0"/>
        <v>0</v>
      </c>
      <c r="F22" s="36">
        <v>60</v>
      </c>
      <c r="G22" s="37">
        <f t="shared" si="1"/>
        <v>53.16</v>
      </c>
    </row>
    <row r="23" s="7" customFormat="1" ht="20.1" customHeight="1" spans="1:7">
      <c r="A23" s="34">
        <v>46169</v>
      </c>
      <c r="B23" s="35" t="s">
        <v>33</v>
      </c>
      <c r="C23" s="35">
        <f>_xlfn.XLOOKUP(B23,'Prod FG'!B:B,'Prod FG'!C:C,"-")</f>
        <v>2.225</v>
      </c>
      <c r="D23" s="36">
        <v>0</v>
      </c>
      <c r="E23" s="37">
        <f t="shared" si="0"/>
        <v>0</v>
      </c>
      <c r="F23" s="36">
        <v>0</v>
      </c>
      <c r="G23" s="37">
        <f t="shared" si="1"/>
        <v>0</v>
      </c>
    </row>
    <row r="24" s="7" customFormat="1" ht="20.1" customHeight="1" spans="1:7">
      <c r="A24" s="34">
        <v>46169</v>
      </c>
      <c r="B24" s="35" t="s">
        <v>34</v>
      </c>
      <c r="C24" s="35">
        <f>_xlfn.XLOOKUP(B24,'Prod FG'!B:B,'Prod FG'!C:C,"-")</f>
        <v>2.3</v>
      </c>
      <c r="D24" s="36">
        <v>2748</v>
      </c>
      <c r="E24" s="37">
        <f t="shared" si="0"/>
        <v>6320.4</v>
      </c>
      <c r="F24" s="36">
        <v>1000</v>
      </c>
      <c r="G24" s="37">
        <f t="shared" si="1"/>
        <v>2300</v>
      </c>
    </row>
    <row r="25" s="7" customFormat="1" ht="20.1" customHeight="1" spans="1:7">
      <c r="A25" s="34">
        <v>46169</v>
      </c>
      <c r="B25" s="35" t="s">
        <v>35</v>
      </c>
      <c r="C25" s="35">
        <f>_xlfn.XLOOKUP(B25,'Prod FG'!B:B,'Prod FG'!C:C,"-")</f>
        <v>2.3</v>
      </c>
      <c r="D25" s="36">
        <v>0</v>
      </c>
      <c r="E25" s="37">
        <f t="shared" si="0"/>
        <v>0</v>
      </c>
      <c r="F25" s="36">
        <v>0</v>
      </c>
      <c r="G25" s="37">
        <f t="shared" si="1"/>
        <v>0</v>
      </c>
    </row>
    <row r="26" s="7" customFormat="1" ht="20.1" customHeight="1" spans="1:7">
      <c r="A26" s="34">
        <v>46169</v>
      </c>
      <c r="B26" s="35" t="s">
        <v>36</v>
      </c>
      <c r="C26" s="35">
        <f>_xlfn.XLOOKUP(B26,'Prod FG'!B:B,'Prod FG'!C:C,"-")</f>
        <v>2.3</v>
      </c>
      <c r="D26" s="36">
        <v>1725</v>
      </c>
      <c r="E26" s="37">
        <f t="shared" si="0"/>
        <v>3967.5</v>
      </c>
      <c r="F26" s="36">
        <v>2000</v>
      </c>
      <c r="G26" s="37">
        <f t="shared" si="1"/>
        <v>4600</v>
      </c>
    </row>
    <row r="27" s="7" customFormat="1" ht="20.1" customHeight="1" spans="1:7">
      <c r="A27" s="34">
        <v>46169</v>
      </c>
      <c r="B27" s="35" t="s">
        <v>37</v>
      </c>
      <c r="C27" s="35">
        <f>_xlfn.XLOOKUP(B27,'Prod FG'!B:B,'Prod FG'!C:C,"-")</f>
        <v>0.75</v>
      </c>
      <c r="D27" s="36">
        <v>0</v>
      </c>
      <c r="E27" s="37">
        <f t="shared" si="0"/>
        <v>0</v>
      </c>
      <c r="F27" s="36">
        <v>0</v>
      </c>
      <c r="G27" s="37">
        <f t="shared" si="1"/>
        <v>0</v>
      </c>
    </row>
    <row r="28" s="7" customFormat="1" ht="20.1" customHeight="1" spans="1:7">
      <c r="A28" s="34">
        <v>46169</v>
      </c>
      <c r="B28" s="35" t="s">
        <v>38</v>
      </c>
      <c r="C28" s="35">
        <f>_xlfn.XLOOKUP(B28,'Prod FG'!B:B,'Prod FG'!C:C,"-")</f>
        <v>1.97</v>
      </c>
      <c r="D28" s="36">
        <v>0</v>
      </c>
      <c r="E28" s="37">
        <f t="shared" si="0"/>
        <v>0</v>
      </c>
      <c r="F28" s="36">
        <v>0</v>
      </c>
      <c r="G28" s="37">
        <f t="shared" si="1"/>
        <v>0</v>
      </c>
    </row>
    <row r="29" s="7" customFormat="1" ht="20.1" customHeight="1" spans="1:7">
      <c r="A29" s="34">
        <v>46169</v>
      </c>
      <c r="B29" s="35" t="s">
        <v>39</v>
      </c>
      <c r="C29" s="35">
        <f>_xlfn.XLOOKUP(B29,'Prod FG'!B:B,'Prod FG'!C:C,"-")</f>
        <v>1.8</v>
      </c>
      <c r="D29" s="36">
        <v>0</v>
      </c>
      <c r="E29" s="37">
        <f t="shared" si="0"/>
        <v>0</v>
      </c>
      <c r="F29" s="36">
        <v>0</v>
      </c>
      <c r="G29" s="37">
        <f t="shared" si="1"/>
        <v>0</v>
      </c>
    </row>
    <row r="30" s="7" customFormat="1" ht="20.1" customHeight="1" spans="1:7">
      <c r="A30" s="34">
        <v>46169</v>
      </c>
      <c r="B30" s="35" t="s">
        <v>40</v>
      </c>
      <c r="C30" s="35">
        <f>_xlfn.XLOOKUP(B30,'Prod FG'!B:B,'Prod FG'!C:C,"-")</f>
        <v>1.605</v>
      </c>
      <c r="D30" s="36">
        <v>0</v>
      </c>
      <c r="E30" s="37">
        <f t="shared" si="0"/>
        <v>0</v>
      </c>
      <c r="F30" s="36">
        <v>40</v>
      </c>
      <c r="G30" s="37">
        <f t="shared" si="1"/>
        <v>64.2</v>
      </c>
    </row>
    <row r="31" s="7" customFormat="1" ht="20.1" customHeight="1" spans="1:7">
      <c r="A31" s="34">
        <v>46169</v>
      </c>
      <c r="B31" s="35" t="s">
        <v>41</v>
      </c>
      <c r="C31" s="35">
        <f>_xlfn.XLOOKUP(B31,'Prod FG'!B:B,'Prod FG'!C:C,"-")</f>
        <v>1.74</v>
      </c>
      <c r="D31" s="36">
        <v>0</v>
      </c>
      <c r="E31" s="37">
        <f t="shared" si="0"/>
        <v>0</v>
      </c>
      <c r="F31" s="36">
        <v>400</v>
      </c>
      <c r="G31" s="37">
        <f t="shared" si="1"/>
        <v>696</v>
      </c>
    </row>
    <row r="32" s="7" customFormat="1" ht="20.1" customHeight="1" spans="1:7">
      <c r="A32" s="34">
        <v>46169</v>
      </c>
      <c r="B32" s="35" t="s">
        <v>42</v>
      </c>
      <c r="C32" s="35">
        <f>_xlfn.XLOOKUP(B32,'Prod FG'!B:B,'Prod FG'!C:C,"-")</f>
        <v>2.665</v>
      </c>
      <c r="D32" s="36">
        <v>0</v>
      </c>
      <c r="E32" s="37">
        <f t="shared" si="0"/>
        <v>0</v>
      </c>
      <c r="F32" s="36">
        <v>0</v>
      </c>
      <c r="G32" s="37">
        <f t="shared" si="1"/>
        <v>0</v>
      </c>
    </row>
    <row r="33" s="7" customFormat="1" ht="20.1" customHeight="1" spans="1:7">
      <c r="A33" s="34">
        <v>46169</v>
      </c>
      <c r="B33" s="35" t="s">
        <v>43</v>
      </c>
      <c r="C33" s="35">
        <f>_xlfn.XLOOKUP(B33,'Prod FG'!B:B,'Prod FG'!C:C,"-")</f>
        <v>3.9834</v>
      </c>
      <c r="D33" s="36">
        <v>111</v>
      </c>
      <c r="E33" s="37">
        <f t="shared" si="0"/>
        <v>442.1574</v>
      </c>
      <c r="F33" s="36">
        <v>514</v>
      </c>
      <c r="G33" s="37">
        <f t="shared" si="1"/>
        <v>2047.4676</v>
      </c>
    </row>
    <row r="34" s="7" customFormat="1" ht="20.1" customHeight="1" spans="1:7">
      <c r="A34" s="34">
        <v>46169</v>
      </c>
      <c r="B34" s="35" t="s">
        <v>44</v>
      </c>
      <c r="C34" s="35">
        <f>_xlfn.XLOOKUP(B34,'Prod FG'!B:B,'Prod FG'!C:C,"-")</f>
        <v>4.8965</v>
      </c>
      <c r="D34" s="36">
        <v>121</v>
      </c>
      <c r="E34" s="37">
        <f t="shared" si="0"/>
        <v>592.4765</v>
      </c>
      <c r="F34" s="36">
        <v>0</v>
      </c>
      <c r="G34" s="37">
        <f t="shared" si="1"/>
        <v>0</v>
      </c>
    </row>
    <row r="35" s="7" customFormat="1" ht="20.1" customHeight="1" spans="1:7">
      <c r="A35" s="34">
        <v>46169</v>
      </c>
      <c r="B35" s="35" t="s">
        <v>45</v>
      </c>
      <c r="C35" s="35">
        <f>_xlfn.XLOOKUP(B35,'Prod FG'!B:B,'Prod FG'!C:C,"-")</f>
        <v>0.898</v>
      </c>
      <c r="D35" s="36">
        <v>0</v>
      </c>
      <c r="E35" s="37">
        <f t="shared" si="0"/>
        <v>0</v>
      </c>
      <c r="F35" s="36">
        <v>0</v>
      </c>
      <c r="G35" s="37">
        <f t="shared" si="1"/>
        <v>0</v>
      </c>
    </row>
    <row r="36" s="7" customFormat="1" ht="20.1" customHeight="1" spans="1:7">
      <c r="A36" s="34">
        <v>46169</v>
      </c>
      <c r="B36" s="35" t="s">
        <v>46</v>
      </c>
      <c r="C36" s="35">
        <f>_xlfn.XLOOKUP(B36,'Prod FG'!B:B,'Prod FG'!C:C,"-")</f>
        <v>2.3079</v>
      </c>
      <c r="D36" s="36">
        <v>0</v>
      </c>
      <c r="E36" s="37">
        <f t="shared" si="0"/>
        <v>0</v>
      </c>
      <c r="F36" s="36">
        <v>0</v>
      </c>
      <c r="G36" s="37">
        <f t="shared" si="1"/>
        <v>0</v>
      </c>
    </row>
    <row r="37" s="7" customFormat="1" ht="20.1" customHeight="1" spans="1:7">
      <c r="A37" s="34">
        <v>46169</v>
      </c>
      <c r="B37" s="35" t="s">
        <v>47</v>
      </c>
      <c r="C37" s="35">
        <f>_xlfn.XLOOKUP(B37,'Prod FG'!B:B,'Prod FG'!C:C,"-")</f>
        <v>2.359</v>
      </c>
      <c r="D37" s="36">
        <v>0</v>
      </c>
      <c r="E37" s="37">
        <f t="shared" si="0"/>
        <v>0</v>
      </c>
      <c r="F37" s="36">
        <v>24</v>
      </c>
      <c r="G37" s="37">
        <f t="shared" si="1"/>
        <v>56.616</v>
      </c>
    </row>
    <row r="38" s="7" customFormat="1" ht="20.1" customHeight="1" spans="1:7">
      <c r="A38" s="34">
        <v>46169</v>
      </c>
      <c r="B38" s="35" t="s">
        <v>48</v>
      </c>
      <c r="C38" s="35">
        <f>_xlfn.XLOOKUP(B38,'Prod FG'!B:B,'Prod FG'!C:C,"-")</f>
        <v>5.707</v>
      </c>
      <c r="D38" s="36">
        <v>284</v>
      </c>
      <c r="E38" s="37">
        <f t="shared" si="0"/>
        <v>1620.788</v>
      </c>
      <c r="F38" s="36">
        <v>202</v>
      </c>
      <c r="G38" s="37">
        <f t="shared" si="1"/>
        <v>1152.814</v>
      </c>
    </row>
    <row r="39" s="7" customFormat="1" ht="20.1" customHeight="1" spans="1:7">
      <c r="A39" s="34">
        <v>46169</v>
      </c>
      <c r="B39" s="35" t="s">
        <v>49</v>
      </c>
      <c r="C39" s="35">
        <f>_xlfn.XLOOKUP(B39,'Prod FG'!B:B,'Prod FG'!C:C,"-")</f>
        <v>4.5244</v>
      </c>
      <c r="D39" s="36">
        <v>0</v>
      </c>
      <c r="E39" s="37">
        <f t="shared" si="0"/>
        <v>0</v>
      </c>
      <c r="F39" s="36">
        <v>0</v>
      </c>
      <c r="G39" s="37">
        <f t="shared" si="1"/>
        <v>0</v>
      </c>
    </row>
    <row r="40" s="7" customFormat="1" ht="20.1" customHeight="1" spans="1:7">
      <c r="A40" s="34">
        <v>46169</v>
      </c>
      <c r="B40" s="35" t="s">
        <v>50</v>
      </c>
      <c r="C40" s="35">
        <f>_xlfn.XLOOKUP(B40,'Prod FG'!B:B,'Prod FG'!C:C,"-")</f>
        <v>3.865</v>
      </c>
      <c r="D40" s="36">
        <v>0</v>
      </c>
      <c r="E40" s="37">
        <f t="shared" si="0"/>
        <v>0</v>
      </c>
      <c r="F40" s="36">
        <v>0</v>
      </c>
      <c r="G40" s="37">
        <f t="shared" si="1"/>
        <v>0</v>
      </c>
    </row>
    <row r="41" s="7" customFormat="1" ht="20.1" customHeight="1" spans="1:7">
      <c r="A41" s="34">
        <v>46169</v>
      </c>
      <c r="B41" s="35" t="s">
        <v>51</v>
      </c>
      <c r="C41" s="35">
        <f>_xlfn.XLOOKUP(B41,'Prod FG'!B:B,'Prod FG'!C:C,"-")</f>
        <v>3.1</v>
      </c>
      <c r="D41" s="36">
        <v>0</v>
      </c>
      <c r="E41" s="37">
        <f t="shared" si="0"/>
        <v>0</v>
      </c>
      <c r="F41" s="36">
        <v>0</v>
      </c>
      <c r="G41" s="37">
        <f t="shared" si="1"/>
        <v>0</v>
      </c>
    </row>
    <row r="42" s="7" customFormat="1" ht="20.1" customHeight="1" spans="1:7">
      <c r="A42" s="34">
        <v>46169</v>
      </c>
      <c r="B42" s="35" t="s">
        <v>52</v>
      </c>
      <c r="C42" s="35">
        <f>_xlfn.XLOOKUP(B42,'Prod FG'!B:B,'Prod FG'!C:C,"-")</f>
        <v>2.368</v>
      </c>
      <c r="D42" s="36">
        <v>1044</v>
      </c>
      <c r="E42" s="37">
        <f t="shared" si="0"/>
        <v>2472.192</v>
      </c>
      <c r="F42" s="36">
        <v>0</v>
      </c>
      <c r="G42" s="37">
        <f t="shared" si="1"/>
        <v>0</v>
      </c>
    </row>
    <row r="43" s="7" customFormat="1" ht="20.1" customHeight="1" spans="1:7">
      <c r="A43" s="34">
        <v>46169</v>
      </c>
      <c r="B43" s="35" t="s">
        <v>53</v>
      </c>
      <c r="C43" s="35">
        <f>_xlfn.XLOOKUP(B43,'Prod FG'!B:B,'Prod FG'!C:C,"-")</f>
        <v>1.704</v>
      </c>
      <c r="D43" s="36">
        <v>0</v>
      </c>
      <c r="E43" s="37">
        <f t="shared" si="0"/>
        <v>0</v>
      </c>
      <c r="F43" s="36">
        <v>0</v>
      </c>
      <c r="G43" s="37">
        <f t="shared" si="1"/>
        <v>0</v>
      </c>
    </row>
    <row r="44" s="7" customFormat="1" ht="20.1" customHeight="1" spans="1:7">
      <c r="A44" s="34">
        <v>46169</v>
      </c>
      <c r="B44" s="35" t="s">
        <v>54</v>
      </c>
      <c r="C44" s="35">
        <f>_xlfn.XLOOKUP(B44,'Prod FG'!B:B,'Prod FG'!C:C,"-")</f>
        <v>1.28</v>
      </c>
      <c r="D44" s="36">
        <v>0</v>
      </c>
      <c r="E44" s="37">
        <f t="shared" si="0"/>
        <v>0</v>
      </c>
      <c r="F44" s="36">
        <v>0</v>
      </c>
      <c r="G44" s="37">
        <f t="shared" si="1"/>
        <v>0</v>
      </c>
    </row>
    <row r="45" s="7" customFormat="1" ht="20.1" customHeight="1" spans="1:7">
      <c r="A45" s="34">
        <v>46169</v>
      </c>
      <c r="B45" s="35" t="s">
        <v>55</v>
      </c>
      <c r="C45" s="35">
        <f>_xlfn.XLOOKUP(B45,'Prod FG'!B:B,'Prod FG'!C:C,"-")</f>
        <v>0.93</v>
      </c>
      <c r="D45" s="36">
        <v>0</v>
      </c>
      <c r="E45" s="37">
        <f t="shared" si="0"/>
        <v>0</v>
      </c>
      <c r="F45" s="36">
        <v>1000</v>
      </c>
      <c r="G45" s="37">
        <f t="shared" si="1"/>
        <v>930</v>
      </c>
    </row>
    <row r="46" s="7" customFormat="1" ht="20.1" customHeight="1" spans="1:7">
      <c r="A46" s="34">
        <v>46169</v>
      </c>
      <c r="B46" s="35" t="s">
        <v>56</v>
      </c>
      <c r="C46" s="35">
        <f>_xlfn.XLOOKUP(B46,'Prod FG'!B:B,'Prod FG'!C:C,"-")</f>
        <v>0.305</v>
      </c>
      <c r="D46" s="36">
        <v>324</v>
      </c>
      <c r="E46" s="37">
        <f t="shared" si="0"/>
        <v>98.82</v>
      </c>
      <c r="F46" s="36">
        <v>0</v>
      </c>
      <c r="G46" s="37">
        <f t="shared" si="1"/>
        <v>0</v>
      </c>
    </row>
    <row r="47" s="7" customFormat="1" ht="20.1" customHeight="1" spans="1:7">
      <c r="A47" s="34">
        <v>46169</v>
      </c>
      <c r="B47" s="35" t="s">
        <v>57</v>
      </c>
      <c r="C47" s="35">
        <f>_xlfn.XLOOKUP(B47,'Prod FG'!B:B,'Prod FG'!C:C,"-")</f>
        <v>0.173</v>
      </c>
      <c r="D47" s="36">
        <v>2592</v>
      </c>
      <c r="E47" s="37">
        <f t="shared" si="0"/>
        <v>448.416</v>
      </c>
      <c r="F47" s="36">
        <v>144</v>
      </c>
      <c r="G47" s="37">
        <f t="shared" si="1"/>
        <v>24.912</v>
      </c>
    </row>
    <row r="48" s="7" customFormat="1" ht="20.1" customHeight="1" spans="1:7">
      <c r="A48" s="34">
        <v>46169</v>
      </c>
      <c r="B48" s="35" t="s">
        <v>58</v>
      </c>
      <c r="C48" s="35">
        <f>_xlfn.XLOOKUP(B48,'Prod FG'!B:B,'Prod FG'!C:C,"-")</f>
        <v>2.4</v>
      </c>
      <c r="D48" s="36">
        <v>0</v>
      </c>
      <c r="E48" s="37">
        <f t="shared" si="0"/>
        <v>0</v>
      </c>
      <c r="F48" s="36">
        <v>261</v>
      </c>
      <c r="G48" s="37">
        <f t="shared" si="1"/>
        <v>626.4</v>
      </c>
    </row>
    <row r="49" s="7" customFormat="1" ht="20.1" customHeight="1" spans="1:7">
      <c r="A49" s="34">
        <v>46169</v>
      </c>
      <c r="B49" s="35" t="s">
        <v>59</v>
      </c>
      <c r="C49" s="35">
        <f>_xlfn.XLOOKUP(B49,'Prod FG'!B:B,'Prod FG'!C:C,"-")</f>
        <v>0.383</v>
      </c>
      <c r="D49" s="36">
        <v>0</v>
      </c>
      <c r="E49" s="37">
        <f t="shared" si="0"/>
        <v>0</v>
      </c>
      <c r="F49" s="36">
        <v>0</v>
      </c>
      <c r="G49" s="37">
        <f t="shared" si="1"/>
        <v>0</v>
      </c>
    </row>
    <row r="50" s="7" customFormat="1" ht="20.1" customHeight="1" spans="1:7">
      <c r="A50" s="34">
        <v>46169</v>
      </c>
      <c r="B50" s="35" t="s">
        <v>60</v>
      </c>
      <c r="C50" s="35">
        <f>_xlfn.XLOOKUP(B50,'Prod FG'!B:B,'Prod FG'!C:C,"-")</f>
        <v>3.55</v>
      </c>
      <c r="D50" s="36">
        <v>0</v>
      </c>
      <c r="E50" s="37">
        <f t="shared" si="0"/>
        <v>0</v>
      </c>
      <c r="F50" s="36">
        <v>50</v>
      </c>
      <c r="G50" s="37">
        <f t="shared" si="1"/>
        <v>177.5</v>
      </c>
    </row>
    <row r="51" s="7" customFormat="1" ht="20.1" customHeight="1" spans="1:7">
      <c r="A51" s="34">
        <v>46169</v>
      </c>
      <c r="B51" s="35" t="s">
        <v>61</v>
      </c>
      <c r="C51" s="35">
        <f>_xlfn.XLOOKUP(B51,'Prod FG'!B:B,'Prod FG'!C:C,"-")</f>
        <v>0.735</v>
      </c>
      <c r="D51" s="36">
        <v>0</v>
      </c>
      <c r="E51" s="37">
        <f t="shared" si="0"/>
        <v>0</v>
      </c>
      <c r="F51" s="36">
        <v>0</v>
      </c>
      <c r="G51" s="37">
        <f t="shared" si="1"/>
        <v>0</v>
      </c>
    </row>
    <row r="52" s="7" customFormat="1" ht="20.1" customHeight="1" spans="1:7">
      <c r="A52" s="34">
        <v>46169</v>
      </c>
      <c r="B52" s="35" t="s">
        <v>62</v>
      </c>
      <c r="C52" s="35">
        <f>_xlfn.XLOOKUP(B52,'Prod FG'!B:B,'Prod FG'!C:C,"-")</f>
        <v>0.0385</v>
      </c>
      <c r="D52" s="36">
        <v>0</v>
      </c>
      <c r="E52" s="37">
        <f t="shared" si="0"/>
        <v>0</v>
      </c>
      <c r="F52" s="36">
        <v>1200</v>
      </c>
      <c r="G52" s="37">
        <f t="shared" si="1"/>
        <v>46.2</v>
      </c>
    </row>
    <row r="53" s="7" customFormat="1" ht="20.1" customHeight="1" spans="1:7">
      <c r="A53" s="34">
        <v>46169</v>
      </c>
      <c r="B53" s="35" t="s">
        <v>63</v>
      </c>
      <c r="C53" s="35">
        <f>_xlfn.XLOOKUP(B53,'Prod FG'!B:B,'Prod FG'!C:C,"-")</f>
        <v>0.672</v>
      </c>
      <c r="D53" s="36">
        <v>840</v>
      </c>
      <c r="E53" s="37">
        <f t="shared" si="0"/>
        <v>564.48</v>
      </c>
      <c r="F53" s="36">
        <v>120</v>
      </c>
      <c r="G53" s="37">
        <f t="shared" si="1"/>
        <v>80.64</v>
      </c>
    </row>
    <row r="54" s="7" customFormat="1" ht="20.1" customHeight="1" spans="1:7">
      <c r="A54" s="34">
        <v>46169</v>
      </c>
      <c r="B54" s="35" t="s">
        <v>64</v>
      </c>
      <c r="C54" s="35">
        <f>_xlfn.XLOOKUP(B54,'Prod FG'!B:B,'Prod FG'!C:C,"-")</f>
        <v>0.002</v>
      </c>
      <c r="D54" s="36">
        <v>0</v>
      </c>
      <c r="E54" s="37">
        <f t="shared" si="0"/>
        <v>0</v>
      </c>
      <c r="F54" s="36">
        <v>0</v>
      </c>
      <c r="G54" s="37">
        <f t="shared" si="1"/>
        <v>0</v>
      </c>
    </row>
    <row r="55" s="7" customFormat="1" ht="20.1" customHeight="1" spans="1:7">
      <c r="A55" s="34">
        <v>46169</v>
      </c>
      <c r="B55" s="35" t="s">
        <v>65</v>
      </c>
      <c r="C55" s="35">
        <f>_xlfn.XLOOKUP(B55,'Prod FG'!B:B,'Prod FG'!C:C,"-")</f>
        <v>0.05</v>
      </c>
      <c r="D55" s="36">
        <v>0</v>
      </c>
      <c r="E55" s="37">
        <f t="shared" si="0"/>
        <v>0</v>
      </c>
      <c r="F55" s="36">
        <v>0</v>
      </c>
      <c r="G55" s="37">
        <f t="shared" si="1"/>
        <v>0</v>
      </c>
    </row>
    <row r="56" s="7" customFormat="1" ht="20.1" customHeight="1" spans="1:7">
      <c r="A56" s="34">
        <v>46169</v>
      </c>
      <c r="B56" s="35" t="s">
        <v>66</v>
      </c>
      <c r="C56" s="35">
        <f>_xlfn.XLOOKUP(B56,'Prod FG'!B:B,'Prod FG'!C:C,"-")</f>
        <v>0.031</v>
      </c>
      <c r="D56" s="36">
        <v>0</v>
      </c>
      <c r="E56" s="37">
        <f t="shared" si="0"/>
        <v>0</v>
      </c>
      <c r="F56" s="36">
        <v>120</v>
      </c>
      <c r="G56" s="37">
        <f t="shared" si="1"/>
        <v>3.72</v>
      </c>
    </row>
    <row r="57" s="7" customFormat="1" ht="20.1" customHeight="1" spans="1:7">
      <c r="A57" s="34">
        <v>46169</v>
      </c>
      <c r="B57" s="35" t="s">
        <v>67</v>
      </c>
      <c r="C57" s="35">
        <f>_xlfn.XLOOKUP(B57,'Prod FG'!B:B,'Prod FG'!C:C,"-")</f>
        <v>0.1888</v>
      </c>
      <c r="D57" s="36">
        <v>0</v>
      </c>
      <c r="E57" s="37">
        <f t="shared" si="0"/>
        <v>0</v>
      </c>
      <c r="F57" s="36">
        <v>0</v>
      </c>
      <c r="G57" s="37">
        <f t="shared" si="1"/>
        <v>0</v>
      </c>
    </row>
    <row r="58" s="7" customFormat="1" ht="20.1" customHeight="1" spans="1:7">
      <c r="A58" s="34">
        <v>46169</v>
      </c>
      <c r="B58" s="35" t="s">
        <v>68</v>
      </c>
      <c r="C58" s="35">
        <f>_xlfn.XLOOKUP(B58,'Prod FG'!B:B,'Prod FG'!C:C,"-")</f>
        <v>0.05</v>
      </c>
      <c r="D58" s="36">
        <v>0</v>
      </c>
      <c r="E58" s="37">
        <f t="shared" si="0"/>
        <v>0</v>
      </c>
      <c r="F58" s="36">
        <v>360</v>
      </c>
      <c r="G58" s="37">
        <f t="shared" si="1"/>
        <v>18</v>
      </c>
    </row>
    <row r="59" s="7" customFormat="1" ht="20.1" customHeight="1" spans="1:7">
      <c r="A59" s="34">
        <v>46169</v>
      </c>
      <c r="B59" s="35" t="s">
        <v>69</v>
      </c>
      <c r="C59" s="35">
        <f>_xlfn.XLOOKUP(B59,'Prod FG'!B:B,'Prod FG'!C:C,"-")</f>
        <v>0.057</v>
      </c>
      <c r="D59" s="36">
        <v>0</v>
      </c>
      <c r="E59" s="37">
        <f t="shared" si="0"/>
        <v>0</v>
      </c>
      <c r="F59" s="36">
        <v>36</v>
      </c>
      <c r="G59" s="37">
        <f t="shared" si="1"/>
        <v>2.052</v>
      </c>
    </row>
    <row r="60" s="7" customFormat="1" ht="20.1" customHeight="1" spans="1:7">
      <c r="A60" s="34">
        <v>46169</v>
      </c>
      <c r="B60" s="35" t="s">
        <v>70</v>
      </c>
      <c r="C60" s="35">
        <f>_xlfn.XLOOKUP(B60,'Prod FG'!B:B,'Prod FG'!C:C,"-")</f>
        <v>1.54</v>
      </c>
      <c r="D60" s="36">
        <v>0</v>
      </c>
      <c r="E60" s="37">
        <f t="shared" si="0"/>
        <v>0</v>
      </c>
      <c r="F60" s="36">
        <v>33</v>
      </c>
      <c r="G60" s="37">
        <f t="shared" si="1"/>
        <v>50.82</v>
      </c>
    </row>
    <row r="61" s="7" customFormat="1" ht="20.1" customHeight="1" spans="1:7">
      <c r="A61" s="34">
        <v>46169</v>
      </c>
      <c r="B61" s="35" t="s">
        <v>71</v>
      </c>
      <c r="C61" s="35">
        <f>_xlfn.XLOOKUP(B61,'Prod FG'!B:B,'Prod FG'!C:C,"-")</f>
        <v>0.047</v>
      </c>
      <c r="D61" s="36">
        <v>0</v>
      </c>
      <c r="E61" s="37">
        <f t="shared" si="0"/>
        <v>0</v>
      </c>
      <c r="F61" s="36">
        <v>0</v>
      </c>
      <c r="G61" s="37">
        <f t="shared" si="1"/>
        <v>0</v>
      </c>
    </row>
    <row r="62" s="7" customFormat="1" ht="20.1" customHeight="1" spans="1:7">
      <c r="A62" s="34">
        <v>46169</v>
      </c>
      <c r="B62" s="35" t="s">
        <v>72</v>
      </c>
      <c r="C62" s="35">
        <f>_xlfn.XLOOKUP(B62,'Prod FG'!B:B,'Prod FG'!C:C,"-")</f>
        <v>0.043</v>
      </c>
      <c r="D62" s="36">
        <v>0</v>
      </c>
      <c r="E62" s="37">
        <f t="shared" si="0"/>
        <v>0</v>
      </c>
      <c r="F62" s="36">
        <v>240</v>
      </c>
      <c r="G62" s="37">
        <f t="shared" si="1"/>
        <v>10.32</v>
      </c>
    </row>
    <row r="63" s="7" customFormat="1" ht="20.1" customHeight="1" spans="1:7">
      <c r="A63" s="34">
        <v>46169</v>
      </c>
      <c r="B63" s="35" t="s">
        <v>73</v>
      </c>
      <c r="C63" s="35">
        <f>_xlfn.XLOOKUP(B63,'Prod FG'!B:B,'Prod FG'!C:C,"-")</f>
        <v>0.136</v>
      </c>
      <c r="D63" s="36">
        <v>0</v>
      </c>
      <c r="E63" s="37">
        <f t="shared" si="0"/>
        <v>0</v>
      </c>
      <c r="F63" s="36">
        <v>0</v>
      </c>
      <c r="G63" s="37">
        <f t="shared" si="1"/>
        <v>0</v>
      </c>
    </row>
    <row r="64" s="7" customFormat="1" ht="20.1" customHeight="1" spans="1:7">
      <c r="A64" s="34">
        <v>46169</v>
      </c>
      <c r="B64" s="35" t="s">
        <v>74</v>
      </c>
      <c r="C64" s="35">
        <f>_xlfn.XLOOKUP(B64,'Prod FG'!B:B,'Prod FG'!C:C,"-")</f>
        <v>0.224</v>
      </c>
      <c r="D64" s="36">
        <v>0</v>
      </c>
      <c r="E64" s="37">
        <f t="shared" si="0"/>
        <v>0</v>
      </c>
      <c r="F64" s="36">
        <v>72</v>
      </c>
      <c r="G64" s="37">
        <f t="shared" si="1"/>
        <v>16.128</v>
      </c>
    </row>
    <row r="65" s="7" customFormat="1" ht="20.1" customHeight="1" spans="1:7">
      <c r="A65" s="34">
        <v>46169</v>
      </c>
      <c r="B65" s="35" t="s">
        <v>75</v>
      </c>
      <c r="C65" s="35">
        <f>_xlfn.XLOOKUP(B65,'Prod FG'!B:B,'Prod FG'!C:C,"-")</f>
        <v>0.224</v>
      </c>
      <c r="D65" s="36">
        <v>0</v>
      </c>
      <c r="E65" s="37">
        <f t="shared" si="0"/>
        <v>0</v>
      </c>
      <c r="F65" s="36">
        <v>12</v>
      </c>
      <c r="G65" s="37">
        <f t="shared" si="1"/>
        <v>2.688</v>
      </c>
    </row>
    <row r="66" s="7" customFormat="1" ht="20.1" customHeight="1" spans="1:7">
      <c r="A66" s="34">
        <v>46169</v>
      </c>
      <c r="B66" s="35" t="s">
        <v>76</v>
      </c>
      <c r="C66" s="35">
        <f>_xlfn.XLOOKUP(B66,'Prod FG'!B:B,'Prod FG'!C:C,"-")</f>
        <v>0.246</v>
      </c>
      <c r="D66" s="36">
        <v>0</v>
      </c>
      <c r="E66" s="37">
        <f t="shared" si="0"/>
        <v>0</v>
      </c>
      <c r="F66" s="36">
        <v>0</v>
      </c>
      <c r="G66" s="37">
        <f t="shared" si="1"/>
        <v>0</v>
      </c>
    </row>
    <row r="67" s="7" customFormat="1" ht="20.1" customHeight="1" spans="1:7">
      <c r="A67" s="34">
        <v>46169</v>
      </c>
      <c r="B67" s="35" t="s">
        <v>77</v>
      </c>
      <c r="C67" s="35">
        <f>_xlfn.XLOOKUP(B67,'Prod FG'!B:B,'Prod FG'!C:C,"-")</f>
        <v>0.088</v>
      </c>
      <c r="D67" s="36">
        <v>0</v>
      </c>
      <c r="E67" s="37">
        <f t="shared" ref="E67:E130" si="2">IFERROR(D67*C67,"-")</f>
        <v>0</v>
      </c>
      <c r="F67" s="36">
        <v>156</v>
      </c>
      <c r="G67" s="37">
        <f t="shared" ref="G67:G130" si="3">IFERROR(F67*C67,"-")</f>
        <v>13.728</v>
      </c>
    </row>
    <row r="68" s="7" customFormat="1" ht="20.1" customHeight="1" spans="1:7">
      <c r="A68" s="34">
        <v>46169</v>
      </c>
      <c r="B68" s="35" t="s">
        <v>78</v>
      </c>
      <c r="C68" s="35">
        <f>_xlfn.XLOOKUP(B68,'Prod FG'!B:B,'Prod FG'!C:C,"-")</f>
        <v>0.0222</v>
      </c>
      <c r="D68" s="36">
        <v>0</v>
      </c>
      <c r="E68" s="37">
        <f t="shared" si="2"/>
        <v>0</v>
      </c>
      <c r="F68" s="36">
        <v>0</v>
      </c>
      <c r="G68" s="37">
        <f t="shared" si="3"/>
        <v>0</v>
      </c>
    </row>
    <row r="69" s="7" customFormat="1" ht="20.1" customHeight="1" spans="1:7">
      <c r="A69" s="34">
        <v>46169</v>
      </c>
      <c r="B69" s="35" t="s">
        <v>79</v>
      </c>
      <c r="C69" s="35">
        <f>_xlfn.XLOOKUP(B69,'Prod FG'!B:B,'Prod FG'!C:C,"-")</f>
        <v>1.282</v>
      </c>
      <c r="D69" s="36">
        <v>0</v>
      </c>
      <c r="E69" s="37">
        <f t="shared" si="2"/>
        <v>0</v>
      </c>
      <c r="F69" s="36">
        <v>0</v>
      </c>
      <c r="G69" s="37">
        <f t="shared" si="3"/>
        <v>0</v>
      </c>
    </row>
    <row r="70" s="7" customFormat="1" ht="20.1" customHeight="1" spans="1:7">
      <c r="A70" s="34">
        <v>46169</v>
      </c>
      <c r="B70" s="35" t="s">
        <v>80</v>
      </c>
      <c r="C70" s="35">
        <f>_xlfn.XLOOKUP(B70,'Prod FG'!B:B,'Prod FG'!C:C,"-")</f>
        <v>0.032</v>
      </c>
      <c r="D70" s="36">
        <v>5880</v>
      </c>
      <c r="E70" s="37">
        <f t="shared" si="2"/>
        <v>188.16</v>
      </c>
      <c r="F70" s="36">
        <v>4200</v>
      </c>
      <c r="G70" s="37">
        <f t="shared" si="3"/>
        <v>134.4</v>
      </c>
    </row>
    <row r="71" s="7" customFormat="1" ht="20.1" customHeight="1" spans="1:7">
      <c r="A71" s="34">
        <v>46169</v>
      </c>
      <c r="B71" s="35" t="s">
        <v>81</v>
      </c>
      <c r="C71" s="35">
        <f>_xlfn.XLOOKUP(B71,'Prod FG'!B:B,'Prod FG'!C:C,"-")</f>
        <v>0.692</v>
      </c>
      <c r="D71" s="36">
        <v>264</v>
      </c>
      <c r="E71" s="37">
        <f t="shared" si="2"/>
        <v>182.688</v>
      </c>
      <c r="F71" s="36">
        <v>0</v>
      </c>
      <c r="G71" s="37">
        <f t="shared" si="3"/>
        <v>0</v>
      </c>
    </row>
    <row r="72" s="7" customFormat="1" ht="20.1" customHeight="1" spans="1:7">
      <c r="A72" s="34">
        <v>46169</v>
      </c>
      <c r="B72" s="35" t="s">
        <v>82</v>
      </c>
      <c r="C72" s="35">
        <f>_xlfn.XLOOKUP(B72,'Prod FG'!B:B,'Prod FG'!C:C,"-")</f>
        <v>0.0893</v>
      </c>
      <c r="D72" s="36">
        <v>0</v>
      </c>
      <c r="E72" s="37">
        <f t="shared" si="2"/>
        <v>0</v>
      </c>
      <c r="F72" s="36">
        <v>0</v>
      </c>
      <c r="G72" s="37">
        <f t="shared" si="3"/>
        <v>0</v>
      </c>
    </row>
    <row r="73" s="7" customFormat="1" ht="20.1" customHeight="1" spans="1:7">
      <c r="A73" s="34">
        <v>46169</v>
      </c>
      <c r="B73" s="35" t="s">
        <v>83</v>
      </c>
      <c r="C73" s="35">
        <f>_xlfn.XLOOKUP(B73,'Prod FG'!B:B,'Prod FG'!C:C,"-")</f>
        <v>1.4535</v>
      </c>
      <c r="D73" s="36">
        <v>0</v>
      </c>
      <c r="E73" s="37">
        <f t="shared" si="2"/>
        <v>0</v>
      </c>
      <c r="F73" s="36">
        <v>0</v>
      </c>
      <c r="G73" s="37">
        <f t="shared" si="3"/>
        <v>0</v>
      </c>
    </row>
    <row r="74" s="7" customFormat="1" ht="20.1" customHeight="1" spans="1:7">
      <c r="A74" s="34">
        <v>46169</v>
      </c>
      <c r="B74" s="35" t="s">
        <v>84</v>
      </c>
      <c r="C74" s="35">
        <f>_xlfn.XLOOKUP(B74,'Prod FG'!B:B,'Prod FG'!C:C,"-")</f>
        <v>0.225</v>
      </c>
      <c r="D74" s="36">
        <v>0</v>
      </c>
      <c r="E74" s="37">
        <f t="shared" si="2"/>
        <v>0</v>
      </c>
      <c r="F74" s="36">
        <v>60</v>
      </c>
      <c r="G74" s="37">
        <f t="shared" si="3"/>
        <v>13.5</v>
      </c>
    </row>
    <row r="75" s="7" customFormat="1" ht="20.1" customHeight="1" spans="1:7">
      <c r="A75" s="34">
        <v>46169</v>
      </c>
      <c r="B75" s="35" t="s">
        <v>85</v>
      </c>
      <c r="C75" s="35">
        <f>_xlfn.XLOOKUP(B75,'Prod FG'!B:B,'Prod FG'!C:C,"-")</f>
        <v>0.445</v>
      </c>
      <c r="D75" s="36">
        <v>0</v>
      </c>
      <c r="E75" s="37">
        <f t="shared" si="2"/>
        <v>0</v>
      </c>
      <c r="F75" s="36">
        <v>0</v>
      </c>
      <c r="G75" s="37">
        <f t="shared" si="3"/>
        <v>0</v>
      </c>
    </row>
    <row r="76" s="7" customFormat="1" ht="20.1" customHeight="1" spans="1:7">
      <c r="A76" s="34">
        <v>46169</v>
      </c>
      <c r="B76" s="35" t="s">
        <v>86</v>
      </c>
      <c r="C76" s="35">
        <f>_xlfn.XLOOKUP(B76,'Prod FG'!B:B,'Prod FG'!C:C,"-")</f>
        <v>0.1022</v>
      </c>
      <c r="D76" s="36">
        <v>0</v>
      </c>
      <c r="E76" s="37">
        <f t="shared" si="2"/>
        <v>0</v>
      </c>
      <c r="F76" s="36">
        <v>0</v>
      </c>
      <c r="G76" s="37">
        <f t="shared" si="3"/>
        <v>0</v>
      </c>
    </row>
    <row r="77" s="7" customFormat="1" ht="20.1" customHeight="1" spans="1:7">
      <c r="A77" s="34">
        <v>46169</v>
      </c>
      <c r="B77" s="35" t="s">
        <v>87</v>
      </c>
      <c r="C77" s="35">
        <f>_xlfn.XLOOKUP(B77,'Prod FG'!B:B,'Prod FG'!C:C,"-")</f>
        <v>0.582</v>
      </c>
      <c r="D77" s="36">
        <v>396</v>
      </c>
      <c r="E77" s="37">
        <f t="shared" si="2"/>
        <v>230.472</v>
      </c>
      <c r="F77" s="36">
        <v>0</v>
      </c>
      <c r="G77" s="37">
        <f t="shared" si="3"/>
        <v>0</v>
      </c>
    </row>
    <row r="78" s="7" customFormat="1" ht="20.1" customHeight="1" spans="1:7">
      <c r="A78" s="34">
        <v>46169</v>
      </c>
      <c r="B78" s="35" t="s">
        <v>88</v>
      </c>
      <c r="C78" s="35">
        <f>_xlfn.XLOOKUP(B78,'Prod FG'!B:B,'Prod FG'!C:C,"-")</f>
        <v>0.378</v>
      </c>
      <c r="D78" s="36">
        <v>0</v>
      </c>
      <c r="E78" s="37">
        <f t="shared" si="2"/>
        <v>0</v>
      </c>
      <c r="F78" s="36">
        <v>0</v>
      </c>
      <c r="G78" s="37">
        <f t="shared" si="3"/>
        <v>0</v>
      </c>
    </row>
    <row r="79" s="7" customFormat="1" ht="20.1" customHeight="1" spans="1:7">
      <c r="A79" s="34">
        <v>46169</v>
      </c>
      <c r="B79" s="35" t="s">
        <v>89</v>
      </c>
      <c r="C79" s="35">
        <f>_xlfn.XLOOKUP(B79,'Prod FG'!B:B,'Prod FG'!C:C,"-")</f>
        <v>0.276</v>
      </c>
      <c r="D79" s="36">
        <v>0</v>
      </c>
      <c r="E79" s="37">
        <f t="shared" si="2"/>
        <v>0</v>
      </c>
      <c r="F79" s="36">
        <v>0</v>
      </c>
      <c r="G79" s="37">
        <f t="shared" si="3"/>
        <v>0</v>
      </c>
    </row>
    <row r="80" s="7" customFormat="1" ht="20.1" customHeight="1" spans="1:7">
      <c r="A80" s="34">
        <v>46169</v>
      </c>
      <c r="B80" s="35" t="s">
        <v>90</v>
      </c>
      <c r="C80" s="35">
        <f>_xlfn.XLOOKUP(B80,'Prod FG'!B:B,'Prod FG'!C:C,"-")</f>
        <v>0.183</v>
      </c>
      <c r="D80" s="36">
        <v>0</v>
      </c>
      <c r="E80" s="37">
        <f t="shared" si="2"/>
        <v>0</v>
      </c>
      <c r="F80" s="36">
        <v>0</v>
      </c>
      <c r="G80" s="37">
        <f t="shared" si="3"/>
        <v>0</v>
      </c>
    </row>
    <row r="81" s="7" customFormat="1" ht="20.1" customHeight="1" spans="1:7">
      <c r="A81" s="34">
        <v>46169</v>
      </c>
      <c r="B81" s="35" t="s">
        <v>91</v>
      </c>
      <c r="C81" s="35">
        <f>_xlfn.XLOOKUP(B81,'Prod FG'!B:B,'Prod FG'!C:C,"-")</f>
        <v>0.09</v>
      </c>
      <c r="D81" s="36">
        <v>0</v>
      </c>
      <c r="E81" s="37">
        <f t="shared" si="2"/>
        <v>0</v>
      </c>
      <c r="F81" s="36">
        <v>0</v>
      </c>
      <c r="G81" s="37">
        <f t="shared" si="3"/>
        <v>0</v>
      </c>
    </row>
    <row r="82" s="7" customFormat="1" ht="20.1" customHeight="1" spans="1:7">
      <c r="A82" s="34">
        <v>46169</v>
      </c>
      <c r="B82" s="35" t="s">
        <v>92</v>
      </c>
      <c r="C82" s="35">
        <f>_xlfn.XLOOKUP(B82,'Prod FG'!B:B,'Prod FG'!C:C,"-")</f>
        <v>0.378</v>
      </c>
      <c r="D82" s="36">
        <v>0</v>
      </c>
      <c r="E82" s="37">
        <f t="shared" si="2"/>
        <v>0</v>
      </c>
      <c r="F82" s="36">
        <v>0</v>
      </c>
      <c r="G82" s="37">
        <f t="shared" si="3"/>
        <v>0</v>
      </c>
    </row>
    <row r="83" s="7" customFormat="1" ht="20.1" customHeight="1" spans="1:7">
      <c r="A83" s="34">
        <v>46169</v>
      </c>
      <c r="B83" s="35" t="s">
        <v>93</v>
      </c>
      <c r="C83" s="35">
        <f>_xlfn.XLOOKUP(B83,'Prod FG'!B:B,'Prod FG'!C:C,"-")</f>
        <v>0.278</v>
      </c>
      <c r="D83" s="36">
        <v>1884</v>
      </c>
      <c r="E83" s="37">
        <f t="shared" si="2"/>
        <v>523.752</v>
      </c>
      <c r="F83" s="36">
        <v>0</v>
      </c>
      <c r="G83" s="37">
        <f t="shared" si="3"/>
        <v>0</v>
      </c>
    </row>
    <row r="84" s="7" customFormat="1" ht="20.1" customHeight="1" spans="1:7">
      <c r="A84" s="34">
        <v>46169</v>
      </c>
      <c r="B84" s="35" t="s">
        <v>94</v>
      </c>
      <c r="C84" s="35">
        <f>_xlfn.XLOOKUP(B84,'Prod FG'!B:B,'Prod FG'!C:C,"-")</f>
        <v>0.183</v>
      </c>
      <c r="D84" s="36">
        <v>2112</v>
      </c>
      <c r="E84" s="37">
        <f t="shared" si="2"/>
        <v>386.496</v>
      </c>
      <c r="F84" s="36">
        <v>0</v>
      </c>
      <c r="G84" s="37">
        <f t="shared" si="3"/>
        <v>0</v>
      </c>
    </row>
    <row r="85" s="7" customFormat="1" ht="20.1" customHeight="1" spans="1:7">
      <c r="A85" s="34">
        <v>46169</v>
      </c>
      <c r="B85" s="35" t="s">
        <v>95</v>
      </c>
      <c r="C85" s="35">
        <f>_xlfn.XLOOKUP(B85,'Prod FG'!B:B,'Prod FG'!C:C,"-")</f>
        <v>0.09</v>
      </c>
      <c r="D85" s="36">
        <v>0</v>
      </c>
      <c r="E85" s="37">
        <f t="shared" si="2"/>
        <v>0</v>
      </c>
      <c r="F85" s="36">
        <v>0</v>
      </c>
      <c r="G85" s="37">
        <f t="shared" si="3"/>
        <v>0</v>
      </c>
    </row>
    <row r="86" s="7" customFormat="1" ht="20.1" customHeight="1" spans="1:7">
      <c r="A86" s="34">
        <v>46169</v>
      </c>
      <c r="B86" s="35" t="s">
        <v>96</v>
      </c>
      <c r="C86" s="35">
        <f>_xlfn.XLOOKUP(B86,'Prod FG'!B:B,'Prod FG'!C:C,"-")</f>
        <v>0.365</v>
      </c>
      <c r="D86" s="36">
        <v>0</v>
      </c>
      <c r="E86" s="37">
        <f t="shared" si="2"/>
        <v>0</v>
      </c>
      <c r="F86" s="36">
        <v>0</v>
      </c>
      <c r="G86" s="37">
        <f t="shared" si="3"/>
        <v>0</v>
      </c>
    </row>
    <row r="87" s="7" customFormat="1" ht="20.1" customHeight="1" spans="1:7">
      <c r="A87" s="34">
        <v>46169</v>
      </c>
      <c r="B87" s="35" t="s">
        <v>97</v>
      </c>
      <c r="C87" s="35">
        <f>_xlfn.XLOOKUP(B87,'Prod FG'!B:B,'Prod FG'!C:C,"-")</f>
        <v>0.322</v>
      </c>
      <c r="D87" s="36">
        <v>0</v>
      </c>
      <c r="E87" s="37">
        <f t="shared" si="2"/>
        <v>0</v>
      </c>
      <c r="F87" s="36">
        <v>0</v>
      </c>
      <c r="G87" s="37">
        <f t="shared" si="3"/>
        <v>0</v>
      </c>
    </row>
    <row r="88" s="7" customFormat="1" ht="20.1" customHeight="1" spans="1:7">
      <c r="A88" s="34">
        <v>46169</v>
      </c>
      <c r="B88" s="35" t="s">
        <v>98</v>
      </c>
      <c r="C88" s="35">
        <f>_xlfn.XLOOKUP(B88,'Prod FG'!B:B,'Prod FG'!C:C,"-")</f>
        <v>0.265</v>
      </c>
      <c r="D88" s="36">
        <v>0</v>
      </c>
      <c r="E88" s="37">
        <f t="shared" si="2"/>
        <v>0</v>
      </c>
      <c r="F88" s="36">
        <v>0</v>
      </c>
      <c r="G88" s="37">
        <f t="shared" si="3"/>
        <v>0</v>
      </c>
    </row>
    <row r="89" s="7" customFormat="1" ht="20.1" customHeight="1" spans="1:7">
      <c r="A89" s="34">
        <v>46169</v>
      </c>
      <c r="B89" s="35" t="s">
        <v>99</v>
      </c>
      <c r="C89" s="35">
        <f>_xlfn.XLOOKUP(B89,'Prod FG'!B:B,'Prod FG'!C:C,"-")</f>
        <v>0.1975</v>
      </c>
      <c r="D89" s="36">
        <v>0</v>
      </c>
      <c r="E89" s="37">
        <f t="shared" si="2"/>
        <v>0</v>
      </c>
      <c r="F89" s="36">
        <v>0</v>
      </c>
      <c r="G89" s="37">
        <f t="shared" si="3"/>
        <v>0</v>
      </c>
    </row>
    <row r="90" s="7" customFormat="1" ht="20.1" customHeight="1" spans="1:7">
      <c r="A90" s="34">
        <v>46169</v>
      </c>
      <c r="B90" s="35" t="s">
        <v>100</v>
      </c>
      <c r="C90" s="35">
        <f>_xlfn.XLOOKUP(B90,'Prod FG'!B:B,'Prod FG'!C:C,"-")</f>
        <v>0.1</v>
      </c>
      <c r="D90" s="36">
        <v>5320</v>
      </c>
      <c r="E90" s="37">
        <f t="shared" si="2"/>
        <v>532</v>
      </c>
      <c r="F90" s="36">
        <v>28120</v>
      </c>
      <c r="G90" s="37">
        <f t="shared" si="3"/>
        <v>2812</v>
      </c>
    </row>
    <row r="91" s="7" customFormat="1" ht="20.1" customHeight="1" spans="1:7">
      <c r="A91" s="34">
        <v>46169</v>
      </c>
      <c r="B91" s="35" t="s">
        <v>101</v>
      </c>
      <c r="C91" s="35">
        <f>_xlfn.XLOOKUP(B91,'Prod FG'!B:B,'Prod FG'!C:C,"-")</f>
        <v>0.0012</v>
      </c>
      <c r="D91" s="36">
        <v>116000</v>
      </c>
      <c r="E91" s="37">
        <f t="shared" si="2"/>
        <v>139.2</v>
      </c>
      <c r="F91" s="36">
        <v>0</v>
      </c>
      <c r="G91" s="37">
        <f t="shared" si="3"/>
        <v>0</v>
      </c>
    </row>
    <row r="92" s="7" customFormat="1" ht="20.1" customHeight="1" spans="1:7">
      <c r="A92" s="34">
        <v>46169</v>
      </c>
      <c r="B92" s="35" t="s">
        <v>102</v>
      </c>
      <c r="C92" s="35">
        <f>_xlfn.XLOOKUP(B92,'Prod FG'!B:B,'Prod FG'!C:C,"-")</f>
        <v>0.0016</v>
      </c>
      <c r="D92" s="36">
        <v>0</v>
      </c>
      <c r="E92" s="37">
        <f t="shared" si="2"/>
        <v>0</v>
      </c>
      <c r="F92" s="36">
        <v>0</v>
      </c>
      <c r="G92" s="37">
        <f t="shared" si="3"/>
        <v>0</v>
      </c>
    </row>
    <row r="93" s="7" customFormat="1" ht="20.1" customHeight="1" spans="1:7">
      <c r="A93" s="34">
        <v>46169</v>
      </c>
      <c r="B93" s="35" t="s">
        <v>103</v>
      </c>
      <c r="C93" s="35">
        <f>_xlfn.XLOOKUP(B93,'Prod FG'!B:B,'Prod FG'!C:C,"-")</f>
        <v>0.0089</v>
      </c>
      <c r="D93" s="36">
        <v>0</v>
      </c>
      <c r="E93" s="37">
        <f t="shared" si="2"/>
        <v>0</v>
      </c>
      <c r="F93" s="36">
        <v>0</v>
      </c>
      <c r="G93" s="37">
        <f t="shared" si="3"/>
        <v>0</v>
      </c>
    </row>
    <row r="94" s="7" customFormat="1" ht="20.1" customHeight="1" spans="1:7">
      <c r="A94" s="34">
        <v>46169</v>
      </c>
      <c r="B94" s="35" t="s">
        <v>104</v>
      </c>
      <c r="C94" s="35">
        <f>_xlfn.XLOOKUP(B94,'Prod FG'!B:B,'Prod FG'!C:C,"-")</f>
        <v>0.0089</v>
      </c>
      <c r="D94" s="36">
        <v>0</v>
      </c>
      <c r="E94" s="37">
        <f t="shared" si="2"/>
        <v>0</v>
      </c>
      <c r="F94" s="36">
        <v>0</v>
      </c>
      <c r="G94" s="37">
        <f t="shared" si="3"/>
        <v>0</v>
      </c>
    </row>
    <row r="95" s="7" customFormat="1" ht="20.1" customHeight="1" spans="1:7">
      <c r="A95" s="34">
        <v>46169</v>
      </c>
      <c r="B95" s="35" t="s">
        <v>105</v>
      </c>
      <c r="C95" s="35">
        <f>_xlfn.XLOOKUP(B95,'Prod FG'!B:B,'Prod FG'!C:C,"-")</f>
        <v>0.031</v>
      </c>
      <c r="D95" s="36">
        <v>0</v>
      </c>
      <c r="E95" s="37">
        <f t="shared" si="2"/>
        <v>0</v>
      </c>
      <c r="F95" s="36">
        <v>0</v>
      </c>
      <c r="G95" s="37">
        <f t="shared" si="3"/>
        <v>0</v>
      </c>
    </row>
    <row r="96" s="7" customFormat="1" ht="20.1" customHeight="1" spans="1:7">
      <c r="A96" s="34">
        <v>46169</v>
      </c>
      <c r="B96" s="35" t="s">
        <v>106</v>
      </c>
      <c r="C96" s="35">
        <f>_xlfn.XLOOKUP(B96,'Prod FG'!B:B,'Prod FG'!C:C,"-")</f>
        <v>0.021</v>
      </c>
      <c r="D96" s="36">
        <v>0</v>
      </c>
      <c r="E96" s="37">
        <f t="shared" si="2"/>
        <v>0</v>
      </c>
      <c r="F96" s="36">
        <v>0</v>
      </c>
      <c r="G96" s="37">
        <f t="shared" si="3"/>
        <v>0</v>
      </c>
    </row>
    <row r="97" s="7" customFormat="1" ht="20.1" customHeight="1" spans="1:7">
      <c r="A97" s="34">
        <v>46169</v>
      </c>
      <c r="B97" s="35" t="s">
        <v>107</v>
      </c>
      <c r="C97" s="35">
        <f>_xlfn.XLOOKUP(B97,'Prod FG'!B:B,'Prod FG'!C:C,"-")</f>
        <v>0.003</v>
      </c>
      <c r="D97" s="36">
        <v>0</v>
      </c>
      <c r="E97" s="37">
        <f t="shared" si="2"/>
        <v>0</v>
      </c>
      <c r="F97" s="36">
        <v>0</v>
      </c>
      <c r="G97" s="37">
        <f t="shared" si="3"/>
        <v>0</v>
      </c>
    </row>
    <row r="98" s="7" customFormat="1" ht="20.1" customHeight="1" spans="1:7">
      <c r="A98" s="34">
        <v>46169</v>
      </c>
      <c r="B98" s="35" t="s">
        <v>108</v>
      </c>
      <c r="C98" s="35">
        <f>_xlfn.XLOOKUP(B98,'Prod FG'!B:B,'Prod FG'!C:C,"-")</f>
        <v>0.019</v>
      </c>
      <c r="D98" s="36">
        <v>0</v>
      </c>
      <c r="E98" s="37">
        <f t="shared" si="2"/>
        <v>0</v>
      </c>
      <c r="F98" s="36">
        <v>0</v>
      </c>
      <c r="G98" s="37">
        <f t="shared" si="3"/>
        <v>0</v>
      </c>
    </row>
    <row r="99" s="7" customFormat="1" ht="20.1" customHeight="1" spans="1:7">
      <c r="A99" s="34">
        <v>46169</v>
      </c>
      <c r="B99" s="35" t="s">
        <v>109</v>
      </c>
      <c r="C99" s="35">
        <f>_xlfn.XLOOKUP(B99,'Prod FG'!B:B,'Prod FG'!C:C,"-")</f>
        <v>0.019</v>
      </c>
      <c r="D99" s="36">
        <v>15500</v>
      </c>
      <c r="E99" s="37">
        <f t="shared" si="2"/>
        <v>294.5</v>
      </c>
      <c r="F99" s="36">
        <v>0</v>
      </c>
      <c r="G99" s="37">
        <f t="shared" si="3"/>
        <v>0</v>
      </c>
    </row>
    <row r="100" s="7" customFormat="1" ht="20.1" customHeight="1" spans="1:7">
      <c r="A100" s="34">
        <v>46169</v>
      </c>
      <c r="B100" s="35" t="s">
        <v>110</v>
      </c>
      <c r="C100" s="35">
        <f>_xlfn.XLOOKUP(B100,'Prod FG'!B:B,'Prod FG'!C:C,"-")</f>
        <v>0.008</v>
      </c>
      <c r="D100" s="36">
        <v>72000</v>
      </c>
      <c r="E100" s="37">
        <f t="shared" si="2"/>
        <v>576</v>
      </c>
      <c r="F100" s="36">
        <v>0</v>
      </c>
      <c r="G100" s="37">
        <f t="shared" si="3"/>
        <v>0</v>
      </c>
    </row>
    <row r="101" s="7" customFormat="1" ht="20.1" customHeight="1" spans="1:7">
      <c r="A101" s="34">
        <v>46169</v>
      </c>
      <c r="B101" s="35" t="s">
        <v>111</v>
      </c>
      <c r="C101" s="35">
        <f>_xlfn.XLOOKUP(B101,'Prod FG'!B:B,'Prod FG'!C:C,"-")</f>
        <v>0.041</v>
      </c>
      <c r="D101" s="36">
        <v>0</v>
      </c>
      <c r="E101" s="37">
        <f t="shared" si="2"/>
        <v>0</v>
      </c>
      <c r="F101" s="36">
        <v>0</v>
      </c>
      <c r="G101" s="37">
        <f t="shared" si="3"/>
        <v>0</v>
      </c>
    </row>
    <row r="102" s="7" customFormat="1" ht="20.1" customHeight="1" spans="1:7">
      <c r="A102" s="34">
        <v>46169</v>
      </c>
      <c r="B102" s="35" t="s">
        <v>112</v>
      </c>
      <c r="C102" s="35">
        <f>_xlfn.XLOOKUP(B102,'Prod FG'!B:B,'Prod FG'!C:C,"-")</f>
        <v>0.075</v>
      </c>
      <c r="D102" s="36">
        <v>3780</v>
      </c>
      <c r="E102" s="37">
        <f t="shared" si="2"/>
        <v>283.5</v>
      </c>
      <c r="F102" s="36">
        <v>0</v>
      </c>
      <c r="G102" s="37">
        <f t="shared" si="3"/>
        <v>0</v>
      </c>
    </row>
    <row r="103" s="7" customFormat="1" ht="20.1" customHeight="1" spans="1:7">
      <c r="A103" s="34">
        <v>46169</v>
      </c>
      <c r="B103" s="35" t="s">
        <v>113</v>
      </c>
      <c r="C103" s="35">
        <f>_xlfn.XLOOKUP(B103,'Prod FG'!B:B,'Prod FG'!C:C,"-")</f>
        <v>0.0638</v>
      </c>
      <c r="D103" s="36">
        <v>0</v>
      </c>
      <c r="E103" s="37">
        <f t="shared" si="2"/>
        <v>0</v>
      </c>
      <c r="F103" s="36">
        <v>0</v>
      </c>
      <c r="G103" s="37">
        <f t="shared" si="3"/>
        <v>0</v>
      </c>
    </row>
    <row r="104" s="7" customFormat="1" ht="20.1" customHeight="1" spans="1:7">
      <c r="A104" s="34">
        <v>46169</v>
      </c>
      <c r="B104" s="35" t="s">
        <v>114</v>
      </c>
      <c r="C104" s="35">
        <f>_xlfn.XLOOKUP(B104,'Prod FG'!B:B,'Prod FG'!C:C,"-")</f>
        <v>0.0072</v>
      </c>
      <c r="D104" s="36">
        <v>13000</v>
      </c>
      <c r="E104" s="37">
        <f t="shared" si="2"/>
        <v>93.6</v>
      </c>
      <c r="F104" s="36">
        <v>0</v>
      </c>
      <c r="G104" s="37">
        <f t="shared" si="3"/>
        <v>0</v>
      </c>
    </row>
    <row r="105" s="7" customFormat="1" ht="20.1" customHeight="1" spans="1:7">
      <c r="A105" s="34">
        <v>46169</v>
      </c>
      <c r="B105" s="35" t="s">
        <v>115</v>
      </c>
      <c r="C105" s="35">
        <f>_xlfn.XLOOKUP(B105,'Prod FG'!B:B,'Prod FG'!C:C,"-")</f>
        <v>0.0283</v>
      </c>
      <c r="D105" s="36">
        <v>0</v>
      </c>
      <c r="E105" s="37">
        <f t="shared" si="2"/>
        <v>0</v>
      </c>
      <c r="F105" s="36">
        <v>0</v>
      </c>
      <c r="G105" s="37">
        <f t="shared" si="3"/>
        <v>0</v>
      </c>
    </row>
    <row r="106" s="7" customFormat="1" ht="20.1" customHeight="1" spans="1:7">
      <c r="A106" s="34">
        <v>46169</v>
      </c>
      <c r="B106" s="35" t="s">
        <v>116</v>
      </c>
      <c r="C106" s="35">
        <f>_xlfn.XLOOKUP(B106,'Prod FG'!B:B,'Prod FG'!C:C,"-")</f>
        <v>0.045</v>
      </c>
      <c r="D106" s="36">
        <v>4100</v>
      </c>
      <c r="E106" s="37">
        <f t="shared" si="2"/>
        <v>184.5</v>
      </c>
      <c r="F106" s="36">
        <v>0</v>
      </c>
      <c r="G106" s="37">
        <f t="shared" si="3"/>
        <v>0</v>
      </c>
    </row>
    <row r="107" s="7" customFormat="1" ht="20.1" customHeight="1" spans="1:7">
      <c r="A107" s="34">
        <v>46169</v>
      </c>
      <c r="B107" s="35" t="s">
        <v>117</v>
      </c>
      <c r="C107" s="35">
        <f>_xlfn.XLOOKUP(B107,'Prod FG'!B:B,'Prod FG'!C:C,"-")</f>
        <v>0.332</v>
      </c>
      <c r="D107" s="36">
        <v>3888</v>
      </c>
      <c r="E107" s="37">
        <f t="shared" si="2"/>
        <v>1290.816</v>
      </c>
      <c r="F107" s="36">
        <v>0</v>
      </c>
      <c r="G107" s="37">
        <f t="shared" si="3"/>
        <v>0</v>
      </c>
    </row>
    <row r="108" s="7" customFormat="1" ht="20.1" customHeight="1" spans="1:7">
      <c r="A108" s="34">
        <v>46169</v>
      </c>
      <c r="B108" s="35" t="s">
        <v>118</v>
      </c>
      <c r="C108" s="35">
        <f>_xlfn.XLOOKUP(B108,'Prod FG'!B:B,'Prod FG'!C:C,"-")</f>
        <v>0.024</v>
      </c>
      <c r="D108" s="36">
        <v>0</v>
      </c>
      <c r="E108" s="37">
        <f t="shared" si="2"/>
        <v>0</v>
      </c>
      <c r="F108" s="36">
        <v>0</v>
      </c>
      <c r="G108" s="37">
        <f t="shared" si="3"/>
        <v>0</v>
      </c>
    </row>
    <row r="109" s="7" customFormat="1" ht="20.1" customHeight="1" spans="1:7">
      <c r="A109" s="34">
        <v>46169</v>
      </c>
      <c r="B109" s="35" t="s">
        <v>119</v>
      </c>
      <c r="C109" s="35">
        <f>_xlfn.XLOOKUP(B109,'Prod FG'!B:B,'Prod FG'!C:C,"-")</f>
        <v>0.0253</v>
      </c>
      <c r="D109" s="36">
        <v>0</v>
      </c>
      <c r="E109" s="37">
        <f t="shared" si="2"/>
        <v>0</v>
      </c>
      <c r="F109" s="36">
        <v>0</v>
      </c>
      <c r="G109" s="37">
        <f t="shared" si="3"/>
        <v>0</v>
      </c>
    </row>
    <row r="110" s="7" customFormat="1" ht="20.1" customHeight="1" spans="1:7">
      <c r="A110" s="34">
        <v>46169</v>
      </c>
      <c r="B110" s="35" t="s">
        <v>120</v>
      </c>
      <c r="C110" s="35">
        <f>_xlfn.XLOOKUP(B110,'Prod FG'!B:B,'Prod FG'!C:C,"-")</f>
        <v>0.022</v>
      </c>
      <c r="D110" s="36">
        <v>0</v>
      </c>
      <c r="E110" s="37">
        <f t="shared" si="2"/>
        <v>0</v>
      </c>
      <c r="F110" s="36">
        <v>0</v>
      </c>
      <c r="G110" s="37">
        <f t="shared" si="3"/>
        <v>0</v>
      </c>
    </row>
    <row r="111" s="7" customFormat="1" ht="20.1" customHeight="1" spans="1:7">
      <c r="A111" s="34">
        <v>46169</v>
      </c>
      <c r="B111" s="35" t="s">
        <v>121</v>
      </c>
      <c r="C111" s="35">
        <f>_xlfn.XLOOKUP(B111,'Prod FG'!B:B,'Prod FG'!C:C,"-")</f>
        <v>0.026</v>
      </c>
      <c r="D111" s="36">
        <v>0</v>
      </c>
      <c r="E111" s="37">
        <f t="shared" si="2"/>
        <v>0</v>
      </c>
      <c r="F111" s="36">
        <v>0</v>
      </c>
      <c r="G111" s="37">
        <f t="shared" si="3"/>
        <v>0</v>
      </c>
    </row>
    <row r="112" s="7" customFormat="1" ht="20.1" customHeight="1" spans="1:7">
      <c r="A112" s="34">
        <v>46169</v>
      </c>
      <c r="B112" s="35" t="s">
        <v>122</v>
      </c>
      <c r="C112" s="35">
        <f>_xlfn.XLOOKUP(B112,'Prod FG'!B:B,'Prod FG'!C:C,"-")</f>
        <v>0.026</v>
      </c>
      <c r="D112" s="36">
        <v>0</v>
      </c>
      <c r="E112" s="37">
        <f t="shared" si="2"/>
        <v>0</v>
      </c>
      <c r="F112" s="36">
        <v>0</v>
      </c>
      <c r="G112" s="37">
        <f t="shared" si="3"/>
        <v>0</v>
      </c>
    </row>
    <row r="113" s="7" customFormat="1" ht="20.1" customHeight="1" spans="1:7">
      <c r="A113" s="34">
        <v>46169</v>
      </c>
      <c r="B113" s="35" t="s">
        <v>123</v>
      </c>
      <c r="C113" s="35">
        <f>_xlfn.XLOOKUP(B113,'Prod FG'!B:B,'Prod FG'!C:C,"-")</f>
        <v>0.041</v>
      </c>
      <c r="D113" s="36">
        <v>0</v>
      </c>
      <c r="E113" s="37">
        <f t="shared" si="2"/>
        <v>0</v>
      </c>
      <c r="F113" s="36">
        <v>0</v>
      </c>
      <c r="G113" s="37">
        <f t="shared" si="3"/>
        <v>0</v>
      </c>
    </row>
    <row r="114" s="7" customFormat="1" ht="20.1" customHeight="1" spans="1:7">
      <c r="A114" s="34">
        <v>46169</v>
      </c>
      <c r="B114" s="35" t="s">
        <v>124</v>
      </c>
      <c r="C114" s="35">
        <f>_xlfn.XLOOKUP(B114,'Prod FG'!B:B,'Prod FG'!C:C,"-")</f>
        <v>0.046</v>
      </c>
      <c r="D114" s="36">
        <v>0</v>
      </c>
      <c r="E114" s="37">
        <f t="shared" si="2"/>
        <v>0</v>
      </c>
      <c r="F114" s="36">
        <v>288</v>
      </c>
      <c r="G114" s="37">
        <f t="shared" si="3"/>
        <v>13.248</v>
      </c>
    </row>
    <row r="115" s="7" customFormat="1" ht="20.1" customHeight="1" spans="1:7">
      <c r="A115" s="34">
        <v>46169</v>
      </c>
      <c r="B115" s="35" t="s">
        <v>125</v>
      </c>
      <c r="C115" s="35">
        <f>_xlfn.XLOOKUP(B115,'Prod FG'!B:B,'Prod FG'!C:C,"-")</f>
        <v>0.071</v>
      </c>
      <c r="D115" s="36">
        <v>0</v>
      </c>
      <c r="E115" s="37">
        <f t="shared" si="2"/>
        <v>0</v>
      </c>
      <c r="F115" s="36">
        <v>144</v>
      </c>
      <c r="G115" s="37">
        <f t="shared" si="3"/>
        <v>10.224</v>
      </c>
    </row>
    <row r="116" s="7" customFormat="1" ht="20.1" customHeight="1" spans="1:7">
      <c r="A116" s="34">
        <v>46169</v>
      </c>
      <c r="B116" s="35" t="s">
        <v>126</v>
      </c>
      <c r="C116" s="35">
        <f>_xlfn.XLOOKUP(B116,'Prod FG'!B:B,'Prod FG'!C:C,"-")</f>
        <v>0.071</v>
      </c>
      <c r="D116" s="36">
        <v>660</v>
      </c>
      <c r="E116" s="37">
        <f t="shared" si="2"/>
        <v>46.86</v>
      </c>
      <c r="F116" s="36">
        <v>180</v>
      </c>
      <c r="G116" s="37">
        <f t="shared" si="3"/>
        <v>12.78</v>
      </c>
    </row>
    <row r="117" s="7" customFormat="1" ht="20.1" customHeight="1" spans="1:7">
      <c r="A117" s="34">
        <v>46169</v>
      </c>
      <c r="B117" s="35" t="s">
        <v>127</v>
      </c>
      <c r="C117" s="35">
        <f>_xlfn.XLOOKUP(B117,'Prod FG'!B:B,'Prod FG'!C:C,"-")</f>
        <v>0.083</v>
      </c>
      <c r="D117" s="36">
        <v>1500</v>
      </c>
      <c r="E117" s="37">
        <f t="shared" si="2"/>
        <v>124.5</v>
      </c>
      <c r="F117" s="36">
        <v>0</v>
      </c>
      <c r="G117" s="37">
        <f t="shared" si="3"/>
        <v>0</v>
      </c>
    </row>
    <row r="118" s="7" customFormat="1" ht="20.1" customHeight="1" spans="1:7">
      <c r="A118" s="34">
        <v>46169</v>
      </c>
      <c r="B118" s="35" t="s">
        <v>128</v>
      </c>
      <c r="C118" s="35">
        <f>_xlfn.XLOOKUP(B118,'Prod FG'!B:B,'Prod FG'!C:C,"-")</f>
        <v>0.083</v>
      </c>
      <c r="D118" s="36">
        <v>0</v>
      </c>
      <c r="E118" s="37">
        <f t="shared" si="2"/>
        <v>0</v>
      </c>
      <c r="F118" s="36">
        <v>0</v>
      </c>
      <c r="G118" s="37">
        <f t="shared" si="3"/>
        <v>0</v>
      </c>
    </row>
    <row r="119" s="7" customFormat="1" ht="20.1" customHeight="1" spans="1:7">
      <c r="A119" s="34">
        <v>46169</v>
      </c>
      <c r="B119" s="35" t="s">
        <v>129</v>
      </c>
      <c r="C119" s="35">
        <f>_xlfn.XLOOKUP(B119,'Prod FG'!B:B,'Prod FG'!C:C,"-")</f>
        <v>0.0021</v>
      </c>
      <c r="D119" s="36">
        <v>0</v>
      </c>
      <c r="E119" s="37">
        <f t="shared" si="2"/>
        <v>0</v>
      </c>
      <c r="F119" s="36">
        <v>0</v>
      </c>
      <c r="G119" s="37">
        <f t="shared" si="3"/>
        <v>0</v>
      </c>
    </row>
    <row r="120" s="7" customFormat="1" ht="20.1" customHeight="1" spans="1:7">
      <c r="A120" s="34">
        <v>46169</v>
      </c>
      <c r="B120" s="35" t="s">
        <v>130</v>
      </c>
      <c r="C120" s="35">
        <f>_xlfn.XLOOKUP(B120,'Prod FG'!B:B,'Prod FG'!C:C,"-")</f>
        <v>0.0023</v>
      </c>
      <c r="D120" s="36">
        <v>0</v>
      </c>
      <c r="E120" s="37">
        <f t="shared" si="2"/>
        <v>0</v>
      </c>
      <c r="F120" s="36">
        <v>0</v>
      </c>
      <c r="G120" s="37">
        <f t="shared" si="3"/>
        <v>0</v>
      </c>
    </row>
    <row r="121" s="7" customFormat="1" ht="20.1" customHeight="1" spans="1:7">
      <c r="A121" s="34">
        <v>46169</v>
      </c>
      <c r="B121" s="35" t="s">
        <v>131</v>
      </c>
      <c r="C121" s="35">
        <f>_xlfn.XLOOKUP(B121,'Prod FG'!B:B,'Prod FG'!C:C,"-")</f>
        <v>0.0081</v>
      </c>
      <c r="D121" s="36">
        <v>0</v>
      </c>
      <c r="E121" s="37">
        <f t="shared" si="2"/>
        <v>0</v>
      </c>
      <c r="F121" s="36">
        <v>0</v>
      </c>
      <c r="G121" s="37">
        <f t="shared" si="3"/>
        <v>0</v>
      </c>
    </row>
    <row r="122" s="7" customFormat="1" ht="20.1" customHeight="1" spans="1:7">
      <c r="A122" s="34">
        <v>46169</v>
      </c>
      <c r="B122" s="35" t="s">
        <v>132</v>
      </c>
      <c r="C122" s="35">
        <f>_xlfn.XLOOKUP(B122,'Prod FG'!B:B,'Prod FG'!C:C,"-")</f>
        <v>0.0123</v>
      </c>
      <c r="D122" s="36">
        <v>0</v>
      </c>
      <c r="E122" s="37">
        <f t="shared" si="2"/>
        <v>0</v>
      </c>
      <c r="F122" s="36">
        <v>0</v>
      </c>
      <c r="G122" s="37">
        <f t="shared" si="3"/>
        <v>0</v>
      </c>
    </row>
    <row r="123" s="7" customFormat="1" ht="20.1" customHeight="1" spans="1:7">
      <c r="A123" s="34">
        <v>46169</v>
      </c>
      <c r="B123" s="35" t="s">
        <v>133</v>
      </c>
      <c r="C123" s="35">
        <f>_xlfn.XLOOKUP(B123,'Prod FG'!B:B,'Prod FG'!C:C,"-")</f>
        <v>0.0018</v>
      </c>
      <c r="D123" s="36">
        <v>110000</v>
      </c>
      <c r="E123" s="37">
        <f t="shared" si="2"/>
        <v>198</v>
      </c>
      <c r="F123" s="36">
        <v>0</v>
      </c>
      <c r="G123" s="37">
        <f t="shared" si="3"/>
        <v>0</v>
      </c>
    </row>
    <row r="124" s="7" customFormat="1" ht="20.1" customHeight="1" spans="1:7">
      <c r="A124" s="34">
        <v>46169</v>
      </c>
      <c r="B124" s="35" t="s">
        <v>134</v>
      </c>
      <c r="C124" s="35">
        <f>_xlfn.XLOOKUP(B124,'Prod FG'!B:B,'Prod FG'!C:C,"-")</f>
        <v>0.0048</v>
      </c>
      <c r="D124" s="36">
        <v>69000</v>
      </c>
      <c r="E124" s="37">
        <f t="shared" si="2"/>
        <v>331.2</v>
      </c>
      <c r="F124" s="36">
        <v>0</v>
      </c>
      <c r="G124" s="37">
        <f t="shared" si="3"/>
        <v>0</v>
      </c>
    </row>
    <row r="125" s="7" customFormat="1" ht="20.1" customHeight="1" spans="1:7">
      <c r="A125" s="34">
        <v>46169</v>
      </c>
      <c r="B125" s="35" t="s">
        <v>135</v>
      </c>
      <c r="C125" s="35">
        <f>_xlfn.XLOOKUP(B125,'Prod FG'!B:B,'Prod FG'!C:C,"-")</f>
        <v>0.003</v>
      </c>
      <c r="D125" s="36">
        <v>0</v>
      </c>
      <c r="E125" s="37">
        <f t="shared" si="2"/>
        <v>0</v>
      </c>
      <c r="F125" s="36">
        <v>0</v>
      </c>
      <c r="G125" s="37">
        <f t="shared" si="3"/>
        <v>0</v>
      </c>
    </row>
    <row r="126" s="7" customFormat="1" ht="20.1" customHeight="1" spans="1:7">
      <c r="A126" s="34">
        <v>46169</v>
      </c>
      <c r="B126" s="35" t="s">
        <v>136</v>
      </c>
      <c r="C126" s="35">
        <f>_xlfn.XLOOKUP(B126,'Prod FG'!B:B,'Prod FG'!C:C,"-")</f>
        <v>0.0068</v>
      </c>
      <c r="D126" s="36">
        <v>0</v>
      </c>
      <c r="E126" s="37">
        <f t="shared" si="2"/>
        <v>0</v>
      </c>
      <c r="F126" s="36">
        <v>0</v>
      </c>
      <c r="G126" s="37">
        <f t="shared" si="3"/>
        <v>0</v>
      </c>
    </row>
    <row r="127" s="7" customFormat="1" ht="20.1" customHeight="1" spans="1:7">
      <c r="A127" s="34">
        <v>46169</v>
      </c>
      <c r="B127" s="35" t="s">
        <v>137</v>
      </c>
      <c r="C127" s="35">
        <f>_xlfn.XLOOKUP(B127,'Prod FG'!B:B,'Prod FG'!C:C,"-")</f>
        <v>0.0045</v>
      </c>
      <c r="D127" s="36">
        <v>0</v>
      </c>
      <c r="E127" s="37">
        <f t="shared" si="2"/>
        <v>0</v>
      </c>
      <c r="F127" s="36">
        <v>0</v>
      </c>
      <c r="G127" s="37">
        <f t="shared" si="3"/>
        <v>0</v>
      </c>
    </row>
    <row r="128" s="7" customFormat="1" ht="20.1" customHeight="1" spans="1:7">
      <c r="A128" s="34">
        <v>46169</v>
      </c>
      <c r="B128" s="35" t="s">
        <v>138</v>
      </c>
      <c r="C128" s="35">
        <f>_xlfn.XLOOKUP(B128,'Prod FG'!B:B,'Prod FG'!C:C,"-")</f>
        <v>0.0095</v>
      </c>
      <c r="D128" s="36">
        <v>0</v>
      </c>
      <c r="E128" s="37">
        <f t="shared" si="2"/>
        <v>0</v>
      </c>
      <c r="F128" s="36">
        <v>0</v>
      </c>
      <c r="G128" s="37">
        <f t="shared" si="3"/>
        <v>0</v>
      </c>
    </row>
    <row r="129" s="7" customFormat="1" ht="20.1" customHeight="1" spans="1:7">
      <c r="A129" s="34"/>
      <c r="B129" s="35"/>
      <c r="C129" s="35">
        <f>_xlfn.XLOOKUP(B129,'Prod FG'!B:B,'Prod FG'!C:C,"-")</f>
        <v>0</v>
      </c>
      <c r="D129" s="36"/>
      <c r="E129" s="37">
        <f t="shared" si="2"/>
        <v>0</v>
      </c>
      <c r="F129" s="36"/>
      <c r="G129" s="37">
        <f t="shared" si="3"/>
        <v>0</v>
      </c>
    </row>
    <row r="130" s="7" customFormat="1" ht="20.1" customHeight="1" spans="1:7">
      <c r="A130" s="34"/>
      <c r="B130" s="35"/>
      <c r="C130" s="35">
        <f>_xlfn.XLOOKUP(B130,'Prod FG'!B:B,'Prod FG'!C:C,"-")</f>
        <v>0</v>
      </c>
      <c r="D130" s="36"/>
      <c r="E130" s="37">
        <f t="shared" si="2"/>
        <v>0</v>
      </c>
      <c r="F130" s="36"/>
      <c r="G130" s="37">
        <f t="shared" si="3"/>
        <v>0</v>
      </c>
    </row>
    <row r="131" s="7" customFormat="1" ht="20.1" customHeight="1" spans="1:7">
      <c r="A131" s="34"/>
      <c r="B131" s="35"/>
      <c r="C131" s="35">
        <f>_xlfn.XLOOKUP(B131,'Prod FG'!B:B,'Prod FG'!C:C,"-")</f>
        <v>0</v>
      </c>
      <c r="D131" s="36"/>
      <c r="E131" s="37">
        <f t="shared" ref="E131:E194" si="4">IFERROR(D131*C131,"-")</f>
        <v>0</v>
      </c>
      <c r="F131" s="36"/>
      <c r="G131" s="37">
        <f t="shared" ref="G131:G194" si="5">IFERROR(F131*C131,"-")</f>
        <v>0</v>
      </c>
    </row>
    <row r="132" s="7" customFormat="1" ht="20.1" customHeight="1" spans="1:7">
      <c r="A132" s="34"/>
      <c r="B132" s="35"/>
      <c r="C132" s="35">
        <f>_xlfn.XLOOKUP(B132,'Prod FG'!B:B,'Prod FG'!C:C,"-")</f>
        <v>0</v>
      </c>
      <c r="D132" s="36"/>
      <c r="E132" s="37">
        <f t="shared" si="4"/>
        <v>0</v>
      </c>
      <c r="F132" s="36"/>
      <c r="G132" s="37">
        <f t="shared" si="5"/>
        <v>0</v>
      </c>
    </row>
    <row r="133" s="7" customFormat="1" ht="20.1" customHeight="1" spans="1:7">
      <c r="A133" s="34"/>
      <c r="B133" s="35"/>
      <c r="C133" s="35">
        <f>_xlfn.XLOOKUP(B133,'Prod FG'!B:B,'Prod FG'!C:C,"-")</f>
        <v>0</v>
      </c>
      <c r="D133" s="36"/>
      <c r="E133" s="37">
        <f t="shared" si="4"/>
        <v>0</v>
      </c>
      <c r="F133" s="36"/>
      <c r="G133" s="37">
        <f t="shared" si="5"/>
        <v>0</v>
      </c>
    </row>
    <row r="134" s="7" customFormat="1" ht="20.1" customHeight="1" spans="1:7">
      <c r="A134" s="34"/>
      <c r="B134" s="35"/>
      <c r="C134" s="35">
        <f>_xlfn.XLOOKUP(B134,'Prod FG'!B:B,'Prod FG'!C:C,"-")</f>
        <v>0</v>
      </c>
      <c r="D134" s="36"/>
      <c r="E134" s="37">
        <f t="shared" si="4"/>
        <v>0</v>
      </c>
      <c r="F134" s="36"/>
      <c r="G134" s="37">
        <f t="shared" si="5"/>
        <v>0</v>
      </c>
    </row>
    <row r="135" s="7" customFormat="1" ht="20.1" customHeight="1" spans="1:7">
      <c r="A135" s="34"/>
      <c r="B135" s="35"/>
      <c r="C135" s="35">
        <f>_xlfn.XLOOKUP(B135,'Prod FG'!B:B,'Prod FG'!C:C,"-")</f>
        <v>0</v>
      </c>
      <c r="D135" s="36"/>
      <c r="E135" s="37">
        <f t="shared" si="4"/>
        <v>0</v>
      </c>
      <c r="F135" s="36"/>
      <c r="G135" s="37">
        <f t="shared" si="5"/>
        <v>0</v>
      </c>
    </row>
    <row r="136" s="7" customFormat="1" ht="20.1" customHeight="1" spans="1:7">
      <c r="A136" s="34"/>
      <c r="B136" s="35"/>
      <c r="C136" s="35">
        <f>_xlfn.XLOOKUP(B136,'Prod FG'!B:B,'Prod FG'!C:C,"-")</f>
        <v>0</v>
      </c>
      <c r="D136" s="36"/>
      <c r="E136" s="37">
        <f t="shared" si="4"/>
        <v>0</v>
      </c>
      <c r="F136" s="36"/>
      <c r="G136" s="37">
        <f t="shared" si="5"/>
        <v>0</v>
      </c>
    </row>
    <row r="137" s="7" customFormat="1" ht="20.1" customHeight="1" spans="1:7">
      <c r="A137" s="34"/>
      <c r="B137" s="35"/>
      <c r="C137" s="35">
        <f>_xlfn.XLOOKUP(B137,'Prod FG'!B:B,'Prod FG'!C:C,"-")</f>
        <v>0</v>
      </c>
      <c r="D137" s="36"/>
      <c r="E137" s="37">
        <f t="shared" si="4"/>
        <v>0</v>
      </c>
      <c r="F137" s="36"/>
      <c r="G137" s="37">
        <f t="shared" si="5"/>
        <v>0</v>
      </c>
    </row>
    <row r="138" s="7" customFormat="1" ht="20.1" customHeight="1" spans="1:7">
      <c r="A138" s="34"/>
      <c r="B138" s="35"/>
      <c r="C138" s="35">
        <f>_xlfn.XLOOKUP(B138,'Prod FG'!B:B,'Prod FG'!C:C,"-")</f>
        <v>0</v>
      </c>
      <c r="D138" s="36"/>
      <c r="E138" s="37">
        <f t="shared" si="4"/>
        <v>0</v>
      </c>
      <c r="F138" s="36"/>
      <c r="G138" s="37">
        <f t="shared" si="5"/>
        <v>0</v>
      </c>
    </row>
    <row r="139" s="7" customFormat="1" ht="20.1" customHeight="1" spans="1:7">
      <c r="A139" s="34"/>
      <c r="B139" s="35"/>
      <c r="C139" s="35">
        <f>_xlfn.XLOOKUP(B139,'Prod FG'!B:B,'Prod FG'!C:C,"-")</f>
        <v>0</v>
      </c>
      <c r="D139" s="36"/>
      <c r="E139" s="37">
        <f t="shared" si="4"/>
        <v>0</v>
      </c>
      <c r="F139" s="36"/>
      <c r="G139" s="37">
        <f t="shared" si="5"/>
        <v>0</v>
      </c>
    </row>
    <row r="140" s="7" customFormat="1" ht="20.1" customHeight="1" spans="1:7">
      <c r="A140" s="34"/>
      <c r="B140" s="35"/>
      <c r="C140" s="35">
        <f>_xlfn.XLOOKUP(B140,'Prod FG'!B:B,'Prod FG'!C:C,"-")</f>
        <v>0</v>
      </c>
      <c r="D140" s="36"/>
      <c r="E140" s="37">
        <f t="shared" si="4"/>
        <v>0</v>
      </c>
      <c r="F140" s="36"/>
      <c r="G140" s="37">
        <f t="shared" si="5"/>
        <v>0</v>
      </c>
    </row>
    <row r="141" s="7" customFormat="1" ht="20.1" customHeight="1" spans="1:7">
      <c r="A141" s="34"/>
      <c r="B141" s="35"/>
      <c r="C141" s="35">
        <f>_xlfn.XLOOKUP(B141,'Prod FG'!B:B,'Prod FG'!C:C,"-")</f>
        <v>0</v>
      </c>
      <c r="D141" s="36"/>
      <c r="E141" s="37">
        <f t="shared" si="4"/>
        <v>0</v>
      </c>
      <c r="F141" s="36"/>
      <c r="G141" s="37">
        <f t="shared" si="5"/>
        <v>0</v>
      </c>
    </row>
    <row r="142" s="7" customFormat="1" ht="20.1" customHeight="1" spans="1:7">
      <c r="A142" s="34"/>
      <c r="B142" s="35"/>
      <c r="C142" s="35">
        <f>_xlfn.XLOOKUP(B142,'Prod FG'!B:B,'Prod FG'!C:C,"-")</f>
        <v>0</v>
      </c>
      <c r="D142" s="36"/>
      <c r="E142" s="37">
        <f t="shared" si="4"/>
        <v>0</v>
      </c>
      <c r="F142" s="36"/>
      <c r="G142" s="37">
        <f t="shared" si="5"/>
        <v>0</v>
      </c>
    </row>
    <row r="143" s="7" customFormat="1" ht="20.1" customHeight="1" spans="1:7">
      <c r="A143" s="34"/>
      <c r="B143" s="35"/>
      <c r="C143" s="35">
        <f>_xlfn.XLOOKUP(B143,'Prod FG'!B:B,'Prod FG'!C:C,"-")</f>
        <v>0</v>
      </c>
      <c r="D143" s="36"/>
      <c r="E143" s="37">
        <f t="shared" si="4"/>
        <v>0</v>
      </c>
      <c r="F143" s="36"/>
      <c r="G143" s="37">
        <f t="shared" si="5"/>
        <v>0</v>
      </c>
    </row>
    <row r="144" s="7" customFormat="1" ht="20.1" customHeight="1" spans="1:7">
      <c r="A144" s="34"/>
      <c r="B144" s="35"/>
      <c r="C144" s="35">
        <f>_xlfn.XLOOKUP(B144,'Prod FG'!B:B,'Prod FG'!C:C,"-")</f>
        <v>0</v>
      </c>
      <c r="D144" s="36"/>
      <c r="E144" s="37">
        <f t="shared" si="4"/>
        <v>0</v>
      </c>
      <c r="F144" s="36"/>
      <c r="G144" s="37">
        <f t="shared" si="5"/>
        <v>0</v>
      </c>
    </row>
    <row r="145" s="7" customFormat="1" ht="20.1" customHeight="1" spans="1:7">
      <c r="A145" s="34"/>
      <c r="B145" s="35"/>
      <c r="C145" s="35">
        <f>_xlfn.XLOOKUP(B145,'Prod FG'!B:B,'Prod FG'!C:C,"-")</f>
        <v>0</v>
      </c>
      <c r="D145" s="36"/>
      <c r="E145" s="37">
        <f t="shared" si="4"/>
        <v>0</v>
      </c>
      <c r="F145" s="36"/>
      <c r="G145" s="37">
        <f t="shared" si="5"/>
        <v>0</v>
      </c>
    </row>
    <row r="146" s="7" customFormat="1" ht="20.1" customHeight="1" spans="1:7">
      <c r="A146" s="34"/>
      <c r="B146" s="35"/>
      <c r="C146" s="35">
        <f>_xlfn.XLOOKUP(B146,'Prod FG'!B:B,'Prod FG'!C:C,"-")</f>
        <v>0</v>
      </c>
      <c r="D146" s="36"/>
      <c r="E146" s="37">
        <f t="shared" si="4"/>
        <v>0</v>
      </c>
      <c r="F146" s="36"/>
      <c r="G146" s="37">
        <f t="shared" si="5"/>
        <v>0</v>
      </c>
    </row>
    <row r="147" s="7" customFormat="1" ht="20.1" customHeight="1" spans="1:7">
      <c r="A147" s="34"/>
      <c r="B147" s="35"/>
      <c r="C147" s="35">
        <f>_xlfn.XLOOKUP(B147,'Prod FG'!B:B,'Prod FG'!C:C,"-")</f>
        <v>0</v>
      </c>
      <c r="D147" s="36"/>
      <c r="E147" s="37">
        <f t="shared" si="4"/>
        <v>0</v>
      </c>
      <c r="F147" s="36"/>
      <c r="G147" s="37">
        <f t="shared" si="5"/>
        <v>0</v>
      </c>
    </row>
    <row r="148" s="7" customFormat="1" ht="20.1" customHeight="1" spans="1:7">
      <c r="A148" s="34"/>
      <c r="B148" s="35"/>
      <c r="C148" s="35">
        <f>_xlfn.XLOOKUP(B148,'Prod FG'!B:B,'Prod FG'!C:C,"-")</f>
        <v>0</v>
      </c>
      <c r="D148" s="36"/>
      <c r="E148" s="37">
        <f t="shared" si="4"/>
        <v>0</v>
      </c>
      <c r="F148" s="36"/>
      <c r="G148" s="37">
        <f t="shared" si="5"/>
        <v>0</v>
      </c>
    </row>
    <row r="149" s="7" customFormat="1" ht="20.1" customHeight="1" spans="1:7">
      <c r="A149" s="34"/>
      <c r="B149" s="35"/>
      <c r="C149" s="35">
        <f>_xlfn.XLOOKUP(B149,'Prod FG'!B:B,'Prod FG'!C:C,"-")</f>
        <v>0</v>
      </c>
      <c r="D149" s="36"/>
      <c r="E149" s="37">
        <f t="shared" si="4"/>
        <v>0</v>
      </c>
      <c r="F149" s="36"/>
      <c r="G149" s="37">
        <f t="shared" si="5"/>
        <v>0</v>
      </c>
    </row>
    <row r="150" s="7" customFormat="1" ht="20.1" customHeight="1" spans="1:7">
      <c r="A150" s="34"/>
      <c r="B150" s="35"/>
      <c r="C150" s="35">
        <f>_xlfn.XLOOKUP(B150,'Prod FG'!B:B,'Prod FG'!C:C,"-")</f>
        <v>0</v>
      </c>
      <c r="D150" s="36"/>
      <c r="E150" s="37">
        <f t="shared" si="4"/>
        <v>0</v>
      </c>
      <c r="F150" s="36"/>
      <c r="G150" s="37">
        <f t="shared" si="5"/>
        <v>0</v>
      </c>
    </row>
    <row r="151" s="7" customFormat="1" ht="20.1" customHeight="1" spans="1:7">
      <c r="A151" s="34"/>
      <c r="B151" s="35"/>
      <c r="C151" s="35">
        <f>_xlfn.XLOOKUP(B151,'Prod FG'!B:B,'Prod FG'!C:C,"-")</f>
        <v>0</v>
      </c>
      <c r="D151" s="36"/>
      <c r="E151" s="37">
        <f t="shared" si="4"/>
        <v>0</v>
      </c>
      <c r="F151" s="36"/>
      <c r="G151" s="37">
        <f t="shared" si="5"/>
        <v>0</v>
      </c>
    </row>
    <row r="152" s="7" customFormat="1" ht="20.1" customHeight="1" spans="1:7">
      <c r="A152" s="34"/>
      <c r="B152" s="35"/>
      <c r="C152" s="35">
        <f>_xlfn.XLOOKUP(B152,'Prod FG'!B:B,'Prod FG'!C:C,"-")</f>
        <v>0</v>
      </c>
      <c r="D152" s="36"/>
      <c r="E152" s="37">
        <f t="shared" si="4"/>
        <v>0</v>
      </c>
      <c r="F152" s="36"/>
      <c r="G152" s="37">
        <f t="shared" si="5"/>
        <v>0</v>
      </c>
    </row>
    <row r="153" s="7" customFormat="1" ht="20.1" customHeight="1" spans="1:7">
      <c r="A153" s="34"/>
      <c r="B153" s="35"/>
      <c r="C153" s="35">
        <f>_xlfn.XLOOKUP(B153,'Prod FG'!B:B,'Prod FG'!C:C,"-")</f>
        <v>0</v>
      </c>
      <c r="D153" s="36"/>
      <c r="E153" s="37">
        <f t="shared" si="4"/>
        <v>0</v>
      </c>
      <c r="F153" s="36"/>
      <c r="G153" s="37">
        <f t="shared" si="5"/>
        <v>0</v>
      </c>
    </row>
    <row r="154" s="7" customFormat="1" ht="20.1" customHeight="1" spans="1:7">
      <c r="A154" s="34"/>
      <c r="B154" s="35"/>
      <c r="C154" s="35">
        <f>_xlfn.XLOOKUP(B154,'Prod FG'!B:B,'Prod FG'!C:C,"-")</f>
        <v>0</v>
      </c>
      <c r="D154" s="36"/>
      <c r="E154" s="37">
        <f t="shared" si="4"/>
        <v>0</v>
      </c>
      <c r="F154" s="36"/>
      <c r="G154" s="37">
        <f t="shared" si="5"/>
        <v>0</v>
      </c>
    </row>
    <row r="155" s="7" customFormat="1" ht="20.1" customHeight="1" spans="1:7">
      <c r="A155" s="34"/>
      <c r="B155" s="35"/>
      <c r="C155" s="35">
        <f>_xlfn.XLOOKUP(B155,'Prod FG'!B:B,'Prod FG'!C:C,"-")</f>
        <v>0</v>
      </c>
      <c r="D155" s="36"/>
      <c r="E155" s="37">
        <f t="shared" si="4"/>
        <v>0</v>
      </c>
      <c r="F155" s="36"/>
      <c r="G155" s="37">
        <f t="shared" si="5"/>
        <v>0</v>
      </c>
    </row>
    <row r="156" s="7" customFormat="1" ht="20.1" customHeight="1" spans="1:7">
      <c r="A156" s="34"/>
      <c r="B156" s="35"/>
      <c r="C156" s="35">
        <f>_xlfn.XLOOKUP(B156,'Prod FG'!B:B,'Prod FG'!C:C,"-")</f>
        <v>0</v>
      </c>
      <c r="D156" s="36"/>
      <c r="E156" s="37">
        <f t="shared" si="4"/>
        <v>0</v>
      </c>
      <c r="F156" s="36"/>
      <c r="G156" s="37">
        <f t="shared" si="5"/>
        <v>0</v>
      </c>
    </row>
    <row r="157" s="7" customFormat="1" ht="20.1" customHeight="1" spans="1:7">
      <c r="A157" s="34"/>
      <c r="B157" s="35"/>
      <c r="C157" s="35">
        <f>_xlfn.XLOOKUP(B157,'Prod FG'!B:B,'Prod FG'!C:C,"-")</f>
        <v>0</v>
      </c>
      <c r="D157" s="36"/>
      <c r="E157" s="37">
        <f t="shared" si="4"/>
        <v>0</v>
      </c>
      <c r="F157" s="36"/>
      <c r="G157" s="37">
        <f t="shared" si="5"/>
        <v>0</v>
      </c>
    </row>
    <row r="158" s="7" customFormat="1" ht="20.1" customHeight="1" spans="1:7">
      <c r="A158" s="34"/>
      <c r="B158" s="35"/>
      <c r="C158" s="35">
        <f>_xlfn.XLOOKUP(B158,'Prod FG'!B:B,'Prod FG'!C:C,"-")</f>
        <v>0</v>
      </c>
      <c r="D158" s="36"/>
      <c r="E158" s="37">
        <f t="shared" si="4"/>
        <v>0</v>
      </c>
      <c r="F158" s="36"/>
      <c r="G158" s="37">
        <f t="shared" si="5"/>
        <v>0</v>
      </c>
    </row>
    <row r="159" s="7" customFormat="1" ht="20.1" customHeight="1" spans="1:7">
      <c r="A159" s="34"/>
      <c r="B159" s="35"/>
      <c r="C159" s="35">
        <f>_xlfn.XLOOKUP(B159,'Prod FG'!B:B,'Prod FG'!C:C,"-")</f>
        <v>0</v>
      </c>
      <c r="D159" s="36"/>
      <c r="E159" s="37">
        <f t="shared" si="4"/>
        <v>0</v>
      </c>
      <c r="F159" s="36"/>
      <c r="G159" s="37">
        <f t="shared" si="5"/>
        <v>0</v>
      </c>
    </row>
    <row r="160" s="7" customFormat="1" ht="20.1" customHeight="1" spans="1:7">
      <c r="A160" s="34"/>
      <c r="B160" s="35"/>
      <c r="C160" s="35">
        <f>_xlfn.XLOOKUP(B160,'Prod FG'!B:B,'Prod FG'!C:C,"-")</f>
        <v>0</v>
      </c>
      <c r="D160" s="36"/>
      <c r="E160" s="37">
        <f t="shared" si="4"/>
        <v>0</v>
      </c>
      <c r="F160" s="36"/>
      <c r="G160" s="37">
        <f t="shared" si="5"/>
        <v>0</v>
      </c>
    </row>
    <row r="161" s="7" customFormat="1" ht="20.1" customHeight="1" spans="1:7">
      <c r="A161" s="34"/>
      <c r="B161" s="35"/>
      <c r="C161" s="35">
        <f>_xlfn.XLOOKUP(B161,'Prod FG'!B:B,'Prod FG'!C:C,"-")</f>
        <v>0</v>
      </c>
      <c r="D161" s="36"/>
      <c r="E161" s="37">
        <f t="shared" si="4"/>
        <v>0</v>
      </c>
      <c r="F161" s="36"/>
      <c r="G161" s="37">
        <f t="shared" si="5"/>
        <v>0</v>
      </c>
    </row>
    <row r="162" s="7" customFormat="1" ht="20.1" customHeight="1" spans="1:7">
      <c r="A162" s="34"/>
      <c r="B162" s="35"/>
      <c r="C162" s="35">
        <f>_xlfn.XLOOKUP(B162,'Prod FG'!B:B,'Prod FG'!C:C,"-")</f>
        <v>0</v>
      </c>
      <c r="D162" s="36"/>
      <c r="E162" s="37">
        <f t="shared" si="4"/>
        <v>0</v>
      </c>
      <c r="F162" s="36"/>
      <c r="G162" s="37">
        <f t="shared" si="5"/>
        <v>0</v>
      </c>
    </row>
    <row r="163" s="7" customFormat="1" ht="20.1" customHeight="1" spans="1:7">
      <c r="A163" s="34"/>
      <c r="B163" s="35"/>
      <c r="C163" s="35">
        <f>_xlfn.XLOOKUP(B163,'Prod FG'!B:B,'Prod FG'!C:C,"-")</f>
        <v>0</v>
      </c>
      <c r="D163" s="36"/>
      <c r="E163" s="37">
        <f t="shared" si="4"/>
        <v>0</v>
      </c>
      <c r="F163" s="36"/>
      <c r="G163" s="37">
        <f t="shared" si="5"/>
        <v>0</v>
      </c>
    </row>
    <row r="164" s="7" customFormat="1" ht="20.1" customHeight="1" spans="1:7">
      <c r="A164" s="34"/>
      <c r="B164" s="35"/>
      <c r="C164" s="35">
        <f>_xlfn.XLOOKUP(B164,'Prod FG'!B:B,'Prod FG'!C:C,"-")</f>
        <v>0</v>
      </c>
      <c r="D164" s="36"/>
      <c r="E164" s="37">
        <f t="shared" si="4"/>
        <v>0</v>
      </c>
      <c r="F164" s="36"/>
      <c r="G164" s="37">
        <f t="shared" si="5"/>
        <v>0</v>
      </c>
    </row>
    <row r="165" s="7" customFormat="1" ht="20.1" customHeight="1" spans="1:7">
      <c r="A165" s="34"/>
      <c r="B165" s="35"/>
      <c r="C165" s="35">
        <f>_xlfn.XLOOKUP(B165,'Prod FG'!B:B,'Prod FG'!C:C,"-")</f>
        <v>0</v>
      </c>
      <c r="D165" s="36"/>
      <c r="E165" s="37">
        <f t="shared" si="4"/>
        <v>0</v>
      </c>
      <c r="F165" s="36"/>
      <c r="G165" s="37">
        <f t="shared" si="5"/>
        <v>0</v>
      </c>
    </row>
    <row r="166" s="7" customFormat="1" ht="20.1" customHeight="1" spans="1:7">
      <c r="A166" s="34"/>
      <c r="B166" s="35"/>
      <c r="C166" s="35">
        <f>_xlfn.XLOOKUP(B166,'Prod FG'!B:B,'Prod FG'!C:C,"-")</f>
        <v>0</v>
      </c>
      <c r="D166" s="36"/>
      <c r="E166" s="37">
        <f t="shared" si="4"/>
        <v>0</v>
      </c>
      <c r="F166" s="36"/>
      <c r="G166" s="37">
        <f t="shared" si="5"/>
        <v>0</v>
      </c>
    </row>
    <row r="167" s="7" customFormat="1" ht="20.1" customHeight="1" spans="1:7">
      <c r="A167" s="34"/>
      <c r="B167" s="35"/>
      <c r="C167" s="35">
        <f>_xlfn.XLOOKUP(B167,'Prod FG'!B:B,'Prod FG'!C:C,"-")</f>
        <v>0</v>
      </c>
      <c r="D167" s="36"/>
      <c r="E167" s="37">
        <f t="shared" si="4"/>
        <v>0</v>
      </c>
      <c r="F167" s="36"/>
      <c r="G167" s="37">
        <f t="shared" si="5"/>
        <v>0</v>
      </c>
    </row>
    <row r="168" s="7" customFormat="1" ht="20.1" customHeight="1" spans="1:7">
      <c r="A168" s="34"/>
      <c r="B168" s="35"/>
      <c r="C168" s="35">
        <f>_xlfn.XLOOKUP(B168,'Prod FG'!B:B,'Prod FG'!C:C,"-")</f>
        <v>0</v>
      </c>
      <c r="D168" s="36"/>
      <c r="E168" s="37">
        <f t="shared" si="4"/>
        <v>0</v>
      </c>
      <c r="F168" s="36"/>
      <c r="G168" s="37">
        <f t="shared" si="5"/>
        <v>0</v>
      </c>
    </row>
    <row r="169" s="7" customFormat="1" ht="20.1" customHeight="1" spans="1:7">
      <c r="A169" s="34"/>
      <c r="B169" s="35"/>
      <c r="C169" s="35">
        <f>_xlfn.XLOOKUP(B169,'Prod FG'!B:B,'Prod FG'!C:C,"-")</f>
        <v>0</v>
      </c>
      <c r="D169" s="36"/>
      <c r="E169" s="37">
        <f t="shared" si="4"/>
        <v>0</v>
      </c>
      <c r="F169" s="36"/>
      <c r="G169" s="37">
        <f t="shared" si="5"/>
        <v>0</v>
      </c>
    </row>
    <row r="170" s="7" customFormat="1" ht="20.1" customHeight="1" spans="1:7">
      <c r="A170" s="34"/>
      <c r="B170" s="35"/>
      <c r="C170" s="35">
        <f>_xlfn.XLOOKUP(B170,'Prod FG'!B:B,'Prod FG'!C:C,"-")</f>
        <v>0</v>
      </c>
      <c r="D170" s="36"/>
      <c r="E170" s="37">
        <f t="shared" si="4"/>
        <v>0</v>
      </c>
      <c r="F170" s="36"/>
      <c r="G170" s="37">
        <f t="shared" si="5"/>
        <v>0</v>
      </c>
    </row>
    <row r="171" s="7" customFormat="1" ht="20.1" customHeight="1" spans="1:7">
      <c r="A171" s="34"/>
      <c r="B171" s="35"/>
      <c r="C171" s="35">
        <f>_xlfn.XLOOKUP(B171,'Prod FG'!B:B,'Prod FG'!C:C,"-")</f>
        <v>0</v>
      </c>
      <c r="D171" s="36"/>
      <c r="E171" s="37">
        <f t="shared" si="4"/>
        <v>0</v>
      </c>
      <c r="F171" s="36"/>
      <c r="G171" s="37">
        <f t="shared" si="5"/>
        <v>0</v>
      </c>
    </row>
    <row r="172" s="7" customFormat="1" ht="20.1" customHeight="1" spans="1:7">
      <c r="A172" s="34"/>
      <c r="B172" s="35"/>
      <c r="C172" s="35">
        <f>_xlfn.XLOOKUP(B172,'Prod FG'!B:B,'Prod FG'!C:C,"-")</f>
        <v>0</v>
      </c>
      <c r="D172" s="36"/>
      <c r="E172" s="37">
        <f t="shared" si="4"/>
        <v>0</v>
      </c>
      <c r="F172" s="36"/>
      <c r="G172" s="37">
        <f t="shared" si="5"/>
        <v>0</v>
      </c>
    </row>
    <row r="173" s="7" customFormat="1" ht="20.1" customHeight="1" spans="1:7">
      <c r="A173" s="34"/>
      <c r="B173" s="35"/>
      <c r="C173" s="35">
        <f>_xlfn.XLOOKUP(B173,'Prod FG'!B:B,'Prod FG'!C:C,"-")</f>
        <v>0</v>
      </c>
      <c r="D173" s="36"/>
      <c r="E173" s="37">
        <f t="shared" si="4"/>
        <v>0</v>
      </c>
      <c r="F173" s="36"/>
      <c r="G173" s="37">
        <f t="shared" si="5"/>
        <v>0</v>
      </c>
    </row>
    <row r="174" s="7" customFormat="1" ht="20.1" customHeight="1" spans="1:7">
      <c r="A174" s="34"/>
      <c r="B174" s="35"/>
      <c r="C174" s="35">
        <f>_xlfn.XLOOKUP(B174,'Prod FG'!B:B,'Prod FG'!C:C,"-")</f>
        <v>0</v>
      </c>
      <c r="D174" s="36"/>
      <c r="E174" s="37">
        <f t="shared" si="4"/>
        <v>0</v>
      </c>
      <c r="F174" s="36"/>
      <c r="G174" s="37">
        <f t="shared" si="5"/>
        <v>0</v>
      </c>
    </row>
    <row r="175" s="7" customFormat="1" ht="20.1" customHeight="1" spans="1:7">
      <c r="A175" s="34"/>
      <c r="B175" s="35"/>
      <c r="C175" s="35">
        <f>_xlfn.XLOOKUP(B175,'Prod FG'!B:B,'Prod FG'!C:C,"-")</f>
        <v>0</v>
      </c>
      <c r="D175" s="36"/>
      <c r="E175" s="37">
        <f t="shared" si="4"/>
        <v>0</v>
      </c>
      <c r="F175" s="36"/>
      <c r="G175" s="37">
        <f t="shared" si="5"/>
        <v>0</v>
      </c>
    </row>
    <row r="176" s="7" customFormat="1" ht="20.1" customHeight="1" spans="1:7">
      <c r="A176" s="34"/>
      <c r="B176" s="35"/>
      <c r="C176" s="35">
        <f>_xlfn.XLOOKUP(B176,'Prod FG'!B:B,'Prod FG'!C:C,"-")</f>
        <v>0</v>
      </c>
      <c r="D176" s="36"/>
      <c r="E176" s="37">
        <f t="shared" si="4"/>
        <v>0</v>
      </c>
      <c r="F176" s="36"/>
      <c r="G176" s="37">
        <f t="shared" si="5"/>
        <v>0</v>
      </c>
    </row>
    <row r="177" s="7" customFormat="1" ht="20.1" customHeight="1" spans="1:7">
      <c r="A177" s="34"/>
      <c r="B177" s="35"/>
      <c r="C177" s="35">
        <f>_xlfn.XLOOKUP(B177,'Prod FG'!B:B,'Prod FG'!C:C,"-")</f>
        <v>0</v>
      </c>
      <c r="D177" s="36"/>
      <c r="E177" s="37">
        <f t="shared" si="4"/>
        <v>0</v>
      </c>
      <c r="F177" s="36"/>
      <c r="G177" s="37">
        <f t="shared" si="5"/>
        <v>0</v>
      </c>
    </row>
    <row r="178" s="7" customFormat="1" ht="20.1" customHeight="1" spans="1:7">
      <c r="A178" s="34"/>
      <c r="B178" s="35"/>
      <c r="C178" s="35">
        <f>_xlfn.XLOOKUP(B178,'Prod FG'!B:B,'Prod FG'!C:C,"-")</f>
        <v>0</v>
      </c>
      <c r="D178" s="36"/>
      <c r="E178" s="37">
        <f t="shared" si="4"/>
        <v>0</v>
      </c>
      <c r="F178" s="36"/>
      <c r="G178" s="37">
        <f t="shared" si="5"/>
        <v>0</v>
      </c>
    </row>
    <row r="179" s="7" customFormat="1" ht="20.1" customHeight="1" spans="1:7">
      <c r="A179" s="34"/>
      <c r="B179" s="35"/>
      <c r="C179" s="35">
        <f>_xlfn.XLOOKUP(B179,'Prod FG'!B:B,'Prod FG'!C:C,"-")</f>
        <v>0</v>
      </c>
      <c r="D179" s="36"/>
      <c r="E179" s="37">
        <f t="shared" si="4"/>
        <v>0</v>
      </c>
      <c r="F179" s="36"/>
      <c r="G179" s="37">
        <f t="shared" si="5"/>
        <v>0</v>
      </c>
    </row>
    <row r="180" s="7" customFormat="1" ht="20.1" customHeight="1" spans="1:7">
      <c r="A180" s="34"/>
      <c r="B180" s="35"/>
      <c r="C180" s="35">
        <f>_xlfn.XLOOKUP(B180,'Prod FG'!B:B,'Prod FG'!C:C,"-")</f>
        <v>0</v>
      </c>
      <c r="D180" s="36"/>
      <c r="E180" s="37">
        <f t="shared" si="4"/>
        <v>0</v>
      </c>
      <c r="F180" s="36"/>
      <c r="G180" s="37">
        <f t="shared" si="5"/>
        <v>0</v>
      </c>
    </row>
    <row r="181" s="7" customFormat="1" ht="20.1" customHeight="1" spans="1:7">
      <c r="A181" s="34"/>
      <c r="B181" s="35"/>
      <c r="C181" s="35">
        <f>_xlfn.XLOOKUP(B181,'Prod FG'!B:B,'Prod FG'!C:C,"-")</f>
        <v>0</v>
      </c>
      <c r="D181" s="36"/>
      <c r="E181" s="37">
        <f t="shared" si="4"/>
        <v>0</v>
      </c>
      <c r="F181" s="36"/>
      <c r="G181" s="37">
        <f t="shared" si="5"/>
        <v>0</v>
      </c>
    </row>
    <row r="182" s="7" customFormat="1" ht="20.1" customHeight="1" spans="1:7">
      <c r="A182" s="34"/>
      <c r="B182" s="35"/>
      <c r="C182" s="35">
        <f>_xlfn.XLOOKUP(B182,'Prod FG'!B:B,'Prod FG'!C:C,"-")</f>
        <v>0</v>
      </c>
      <c r="D182" s="36"/>
      <c r="E182" s="37">
        <f t="shared" si="4"/>
        <v>0</v>
      </c>
      <c r="F182" s="36"/>
      <c r="G182" s="37">
        <f t="shared" si="5"/>
        <v>0</v>
      </c>
    </row>
    <row r="183" s="7" customFormat="1" ht="20.1" customHeight="1" spans="1:7">
      <c r="A183" s="34"/>
      <c r="B183" s="35"/>
      <c r="C183" s="35">
        <f>_xlfn.XLOOKUP(B183,'Prod FG'!B:B,'Prod FG'!C:C,"-")</f>
        <v>0</v>
      </c>
      <c r="D183" s="36"/>
      <c r="E183" s="37">
        <f t="shared" si="4"/>
        <v>0</v>
      </c>
      <c r="F183" s="36"/>
      <c r="G183" s="37">
        <f t="shared" si="5"/>
        <v>0</v>
      </c>
    </row>
    <row r="184" s="7" customFormat="1" ht="20.1" customHeight="1" spans="1:7">
      <c r="A184" s="34"/>
      <c r="B184" s="35"/>
      <c r="C184" s="35">
        <f>_xlfn.XLOOKUP(B184,'Prod FG'!B:B,'Prod FG'!C:C,"-")</f>
        <v>0</v>
      </c>
      <c r="D184" s="36"/>
      <c r="E184" s="37">
        <f t="shared" si="4"/>
        <v>0</v>
      </c>
      <c r="F184" s="36"/>
      <c r="G184" s="37">
        <f t="shared" si="5"/>
        <v>0</v>
      </c>
    </row>
    <row r="185" s="7" customFormat="1" ht="20.1" customHeight="1" spans="1:7">
      <c r="A185" s="34"/>
      <c r="B185" s="35"/>
      <c r="C185" s="35">
        <f>_xlfn.XLOOKUP(B185,'Prod FG'!B:B,'Prod FG'!C:C,"-")</f>
        <v>0</v>
      </c>
      <c r="D185" s="36"/>
      <c r="E185" s="37">
        <f t="shared" si="4"/>
        <v>0</v>
      </c>
      <c r="F185" s="36"/>
      <c r="G185" s="37">
        <f t="shared" si="5"/>
        <v>0</v>
      </c>
    </row>
    <row r="186" s="7" customFormat="1" ht="20.1" customHeight="1" spans="1:7">
      <c r="A186" s="34"/>
      <c r="B186" s="35"/>
      <c r="C186" s="35">
        <f>_xlfn.XLOOKUP(B186,'Prod FG'!B:B,'Prod FG'!C:C,"-")</f>
        <v>0</v>
      </c>
      <c r="D186" s="36"/>
      <c r="E186" s="37">
        <f t="shared" si="4"/>
        <v>0</v>
      </c>
      <c r="F186" s="36"/>
      <c r="G186" s="37">
        <f t="shared" si="5"/>
        <v>0</v>
      </c>
    </row>
    <row r="187" s="7" customFormat="1" ht="20.1" customHeight="1" spans="1:7">
      <c r="A187" s="34"/>
      <c r="B187" s="35"/>
      <c r="C187" s="35">
        <f>_xlfn.XLOOKUP(B187,'Prod FG'!B:B,'Prod FG'!C:C,"-")</f>
        <v>0</v>
      </c>
      <c r="D187" s="36"/>
      <c r="E187" s="37">
        <f t="shared" si="4"/>
        <v>0</v>
      </c>
      <c r="F187" s="36"/>
      <c r="G187" s="37">
        <f t="shared" si="5"/>
        <v>0</v>
      </c>
    </row>
    <row r="188" s="7" customFormat="1" ht="20.1" customHeight="1" spans="1:7">
      <c r="A188" s="34"/>
      <c r="B188" s="35"/>
      <c r="C188" s="35">
        <f>_xlfn.XLOOKUP(B188,'Prod FG'!B:B,'Prod FG'!C:C,"-")</f>
        <v>0</v>
      </c>
      <c r="D188" s="36"/>
      <c r="E188" s="37">
        <f t="shared" si="4"/>
        <v>0</v>
      </c>
      <c r="F188" s="36"/>
      <c r="G188" s="37">
        <f t="shared" si="5"/>
        <v>0</v>
      </c>
    </row>
    <row r="189" s="7" customFormat="1" ht="20.1" customHeight="1" spans="1:7">
      <c r="A189" s="34"/>
      <c r="B189" s="35"/>
      <c r="C189" s="35">
        <f>_xlfn.XLOOKUP(B189,'Prod FG'!B:B,'Prod FG'!C:C,"-")</f>
        <v>0</v>
      </c>
      <c r="D189" s="36"/>
      <c r="E189" s="37">
        <f t="shared" si="4"/>
        <v>0</v>
      </c>
      <c r="F189" s="36"/>
      <c r="G189" s="37">
        <f t="shared" si="5"/>
        <v>0</v>
      </c>
    </row>
    <row r="190" s="7" customFormat="1" ht="20.1" customHeight="1" spans="1:7">
      <c r="A190" s="34"/>
      <c r="B190" s="35"/>
      <c r="C190" s="35">
        <f>_xlfn.XLOOKUP(B190,'Prod FG'!B:B,'Prod FG'!C:C,"-")</f>
        <v>0</v>
      </c>
      <c r="D190" s="36"/>
      <c r="E190" s="37">
        <f t="shared" si="4"/>
        <v>0</v>
      </c>
      <c r="F190" s="36"/>
      <c r="G190" s="37">
        <f t="shared" si="5"/>
        <v>0</v>
      </c>
    </row>
    <row r="191" s="7" customFormat="1" ht="20.1" customHeight="1" spans="1:7">
      <c r="A191" s="34"/>
      <c r="B191" s="35"/>
      <c r="C191" s="35">
        <f>_xlfn.XLOOKUP(B191,'Prod FG'!B:B,'Prod FG'!C:C,"-")</f>
        <v>0</v>
      </c>
      <c r="D191" s="36"/>
      <c r="E191" s="37">
        <f t="shared" si="4"/>
        <v>0</v>
      </c>
      <c r="F191" s="36"/>
      <c r="G191" s="37">
        <f t="shared" si="5"/>
        <v>0</v>
      </c>
    </row>
    <row r="192" s="7" customFormat="1" ht="20.1" customHeight="1" spans="1:7">
      <c r="A192" s="34"/>
      <c r="B192" s="35"/>
      <c r="C192" s="35">
        <f>_xlfn.XLOOKUP(B192,'Prod FG'!B:B,'Prod FG'!C:C,"-")</f>
        <v>0</v>
      </c>
      <c r="D192" s="36"/>
      <c r="E192" s="37">
        <f t="shared" si="4"/>
        <v>0</v>
      </c>
      <c r="F192" s="36"/>
      <c r="G192" s="37">
        <f t="shared" si="5"/>
        <v>0</v>
      </c>
    </row>
    <row r="193" s="7" customFormat="1" ht="20.1" customHeight="1" spans="1:7">
      <c r="A193" s="34"/>
      <c r="B193" s="35"/>
      <c r="C193" s="35">
        <f>_xlfn.XLOOKUP(B193,'Prod FG'!B:B,'Prod FG'!C:C,"-")</f>
        <v>0</v>
      </c>
      <c r="D193" s="36"/>
      <c r="E193" s="37">
        <f t="shared" si="4"/>
        <v>0</v>
      </c>
      <c r="F193" s="36"/>
      <c r="G193" s="37">
        <f t="shared" si="5"/>
        <v>0</v>
      </c>
    </row>
    <row r="194" s="7" customFormat="1" ht="20.1" customHeight="1" spans="1:7">
      <c r="A194" s="34"/>
      <c r="B194" s="35"/>
      <c r="C194" s="35">
        <f>_xlfn.XLOOKUP(B194,'Prod FG'!B:B,'Prod FG'!C:C,"-")</f>
        <v>0</v>
      </c>
      <c r="D194" s="36"/>
      <c r="E194" s="37">
        <f t="shared" si="4"/>
        <v>0</v>
      </c>
      <c r="F194" s="36"/>
      <c r="G194" s="37">
        <f t="shared" si="5"/>
        <v>0</v>
      </c>
    </row>
    <row r="195" s="7" customFormat="1" ht="20.1" customHeight="1" spans="1:7">
      <c r="A195" s="34"/>
      <c r="B195" s="35"/>
      <c r="C195" s="35">
        <f>_xlfn.XLOOKUP(B195,'Prod FG'!B:B,'Prod FG'!C:C,"-")</f>
        <v>0</v>
      </c>
      <c r="D195" s="36"/>
      <c r="E195" s="37">
        <f t="shared" ref="E195:E258" si="6">IFERROR(D195*C195,"-")</f>
        <v>0</v>
      </c>
      <c r="F195" s="36"/>
      <c r="G195" s="37">
        <f t="shared" ref="G195:G258" si="7">IFERROR(F195*C195,"-")</f>
        <v>0</v>
      </c>
    </row>
    <row r="196" s="7" customFormat="1" ht="20.1" customHeight="1" spans="1:7">
      <c r="A196" s="34"/>
      <c r="B196" s="35"/>
      <c r="C196" s="35">
        <f>_xlfn.XLOOKUP(B196,'Prod FG'!B:B,'Prod FG'!C:C,"-")</f>
        <v>0</v>
      </c>
      <c r="D196" s="36"/>
      <c r="E196" s="37">
        <f t="shared" si="6"/>
        <v>0</v>
      </c>
      <c r="F196" s="36"/>
      <c r="G196" s="37">
        <f t="shared" si="7"/>
        <v>0</v>
      </c>
    </row>
    <row r="197" s="7" customFormat="1" ht="20.1" customHeight="1" spans="1:7">
      <c r="A197" s="34"/>
      <c r="B197" s="35"/>
      <c r="C197" s="35">
        <f>_xlfn.XLOOKUP(B197,'Prod FG'!B:B,'Prod FG'!C:C,"-")</f>
        <v>0</v>
      </c>
      <c r="D197" s="36"/>
      <c r="E197" s="37">
        <f t="shared" si="6"/>
        <v>0</v>
      </c>
      <c r="F197" s="36"/>
      <c r="G197" s="37">
        <f t="shared" si="7"/>
        <v>0</v>
      </c>
    </row>
    <row r="198" s="7" customFormat="1" ht="20.1" customHeight="1" spans="1:7">
      <c r="A198" s="34"/>
      <c r="B198" s="35"/>
      <c r="C198" s="35">
        <f>_xlfn.XLOOKUP(B198,'Prod FG'!B:B,'Prod FG'!C:C,"-")</f>
        <v>0</v>
      </c>
      <c r="D198" s="36"/>
      <c r="E198" s="37">
        <f t="shared" si="6"/>
        <v>0</v>
      </c>
      <c r="F198" s="36"/>
      <c r="G198" s="37">
        <f t="shared" si="7"/>
        <v>0</v>
      </c>
    </row>
    <row r="199" s="7" customFormat="1" ht="20.1" customHeight="1" spans="1:7">
      <c r="A199" s="34"/>
      <c r="B199" s="35"/>
      <c r="C199" s="35">
        <f>_xlfn.XLOOKUP(B199,'Prod FG'!B:B,'Prod FG'!C:C,"-")</f>
        <v>0</v>
      </c>
      <c r="D199" s="36"/>
      <c r="E199" s="37">
        <f t="shared" si="6"/>
        <v>0</v>
      </c>
      <c r="F199" s="36"/>
      <c r="G199" s="37">
        <f t="shared" si="7"/>
        <v>0</v>
      </c>
    </row>
    <row r="200" s="7" customFormat="1" ht="20.1" customHeight="1" spans="1:7">
      <c r="A200" s="34"/>
      <c r="B200" s="35"/>
      <c r="C200" s="35">
        <f>_xlfn.XLOOKUP(B200,'Prod FG'!B:B,'Prod FG'!C:C,"-")</f>
        <v>0</v>
      </c>
      <c r="D200" s="36"/>
      <c r="E200" s="37">
        <f t="shared" si="6"/>
        <v>0</v>
      </c>
      <c r="F200" s="36"/>
      <c r="G200" s="37">
        <f t="shared" si="7"/>
        <v>0</v>
      </c>
    </row>
    <row r="201" s="7" customFormat="1" ht="20.1" customHeight="1" spans="1:7">
      <c r="A201" s="34"/>
      <c r="B201" s="35"/>
      <c r="C201" s="35">
        <f>_xlfn.XLOOKUP(B201,'Prod FG'!B:B,'Prod FG'!C:C,"-")</f>
        <v>0</v>
      </c>
      <c r="D201" s="36"/>
      <c r="E201" s="37">
        <f t="shared" si="6"/>
        <v>0</v>
      </c>
      <c r="F201" s="36"/>
      <c r="G201" s="37">
        <f t="shared" si="7"/>
        <v>0</v>
      </c>
    </row>
    <row r="202" s="7" customFormat="1" ht="20.1" customHeight="1" spans="1:7">
      <c r="A202" s="34"/>
      <c r="B202" s="35"/>
      <c r="C202" s="35">
        <f>_xlfn.XLOOKUP(B202,'Prod FG'!B:B,'Prod FG'!C:C,"-")</f>
        <v>0</v>
      </c>
      <c r="D202" s="36"/>
      <c r="E202" s="37">
        <f t="shared" si="6"/>
        <v>0</v>
      </c>
      <c r="F202" s="36"/>
      <c r="G202" s="37">
        <f t="shared" si="7"/>
        <v>0</v>
      </c>
    </row>
    <row r="203" s="7" customFormat="1" ht="20.1" customHeight="1" spans="1:7">
      <c r="A203" s="34"/>
      <c r="B203" s="35"/>
      <c r="C203" s="35">
        <f>_xlfn.XLOOKUP(B203,'Prod FG'!B:B,'Prod FG'!C:C,"-")</f>
        <v>0</v>
      </c>
      <c r="D203" s="36"/>
      <c r="E203" s="37">
        <f t="shared" si="6"/>
        <v>0</v>
      </c>
      <c r="F203" s="36"/>
      <c r="G203" s="37">
        <f t="shared" si="7"/>
        <v>0</v>
      </c>
    </row>
    <row r="204" s="7" customFormat="1" ht="20.1" customHeight="1" spans="1:7">
      <c r="A204" s="34"/>
      <c r="B204" s="35"/>
      <c r="C204" s="35">
        <f>_xlfn.XLOOKUP(B204,'Prod FG'!B:B,'Prod FG'!C:C,"-")</f>
        <v>0</v>
      </c>
      <c r="D204" s="36"/>
      <c r="E204" s="37">
        <f t="shared" si="6"/>
        <v>0</v>
      </c>
      <c r="F204" s="36"/>
      <c r="G204" s="37">
        <f t="shared" si="7"/>
        <v>0</v>
      </c>
    </row>
    <row r="205" s="7" customFormat="1" ht="20.1" customHeight="1" spans="1:7">
      <c r="A205" s="34"/>
      <c r="B205" s="35"/>
      <c r="C205" s="35">
        <f>_xlfn.XLOOKUP(B205,'Prod FG'!B:B,'Prod FG'!C:C,"-")</f>
        <v>0</v>
      </c>
      <c r="D205" s="36"/>
      <c r="E205" s="37">
        <f t="shared" si="6"/>
        <v>0</v>
      </c>
      <c r="F205" s="36"/>
      <c r="G205" s="37">
        <f t="shared" si="7"/>
        <v>0</v>
      </c>
    </row>
    <row r="206" s="7" customFormat="1" ht="20.1" customHeight="1" spans="1:7">
      <c r="A206" s="34"/>
      <c r="B206" s="35"/>
      <c r="C206" s="35">
        <f>_xlfn.XLOOKUP(B206,'Prod FG'!B:B,'Prod FG'!C:C,"-")</f>
        <v>0</v>
      </c>
      <c r="D206" s="36"/>
      <c r="E206" s="37">
        <f t="shared" si="6"/>
        <v>0</v>
      </c>
      <c r="F206" s="36"/>
      <c r="G206" s="37">
        <f t="shared" si="7"/>
        <v>0</v>
      </c>
    </row>
    <row r="207" s="7" customFormat="1" ht="20.1" customHeight="1" spans="1:7">
      <c r="A207" s="34"/>
      <c r="B207" s="35"/>
      <c r="C207" s="35">
        <f>_xlfn.XLOOKUP(B207,'Prod FG'!B:B,'Prod FG'!C:C,"-")</f>
        <v>0</v>
      </c>
      <c r="D207" s="36"/>
      <c r="E207" s="37">
        <f t="shared" si="6"/>
        <v>0</v>
      </c>
      <c r="F207" s="36"/>
      <c r="G207" s="37">
        <f t="shared" si="7"/>
        <v>0</v>
      </c>
    </row>
    <row r="208" s="7" customFormat="1" ht="20.1" customHeight="1" spans="1:7">
      <c r="A208" s="34"/>
      <c r="B208" s="35"/>
      <c r="C208" s="35">
        <f>_xlfn.XLOOKUP(B208,'Prod FG'!B:B,'Prod FG'!C:C,"-")</f>
        <v>0</v>
      </c>
      <c r="D208" s="36"/>
      <c r="E208" s="37">
        <f t="shared" si="6"/>
        <v>0</v>
      </c>
      <c r="F208" s="36"/>
      <c r="G208" s="37">
        <f t="shared" si="7"/>
        <v>0</v>
      </c>
    </row>
    <row r="209" s="7" customFormat="1" ht="20.1" customHeight="1" spans="1:7">
      <c r="A209" s="34"/>
      <c r="B209" s="35"/>
      <c r="C209" s="35">
        <f>_xlfn.XLOOKUP(B209,'Prod FG'!B:B,'Prod FG'!C:C,"-")</f>
        <v>0</v>
      </c>
      <c r="D209" s="36"/>
      <c r="E209" s="37">
        <f t="shared" si="6"/>
        <v>0</v>
      </c>
      <c r="F209" s="36"/>
      <c r="G209" s="37">
        <f t="shared" si="7"/>
        <v>0</v>
      </c>
    </row>
    <row r="210" s="7" customFormat="1" ht="20.1" customHeight="1" spans="1:7">
      <c r="A210" s="34"/>
      <c r="B210" s="35"/>
      <c r="C210" s="35">
        <f>_xlfn.XLOOKUP(B210,'Prod FG'!B:B,'Prod FG'!C:C,"-")</f>
        <v>0</v>
      </c>
      <c r="D210" s="36"/>
      <c r="E210" s="37">
        <f t="shared" si="6"/>
        <v>0</v>
      </c>
      <c r="F210" s="36"/>
      <c r="G210" s="37">
        <f t="shared" si="7"/>
        <v>0</v>
      </c>
    </row>
    <row r="211" s="7" customFormat="1" ht="20.1" customHeight="1" spans="1:7">
      <c r="A211" s="34"/>
      <c r="B211" s="35"/>
      <c r="C211" s="35">
        <f>_xlfn.XLOOKUP(B211,'Prod FG'!B:B,'Prod FG'!C:C,"-")</f>
        <v>0</v>
      </c>
      <c r="D211" s="36"/>
      <c r="E211" s="37">
        <f t="shared" si="6"/>
        <v>0</v>
      </c>
      <c r="F211" s="36"/>
      <c r="G211" s="37">
        <f t="shared" si="7"/>
        <v>0</v>
      </c>
    </row>
    <row r="212" s="7" customFormat="1" ht="20.1" customHeight="1" spans="1:7">
      <c r="A212" s="34"/>
      <c r="B212" s="35"/>
      <c r="C212" s="35">
        <f>_xlfn.XLOOKUP(B212,'Prod FG'!B:B,'Prod FG'!C:C,"-")</f>
        <v>0</v>
      </c>
      <c r="D212" s="36"/>
      <c r="E212" s="37">
        <f t="shared" si="6"/>
        <v>0</v>
      </c>
      <c r="F212" s="36"/>
      <c r="G212" s="37">
        <f t="shared" si="7"/>
        <v>0</v>
      </c>
    </row>
    <row r="213" s="7" customFormat="1" ht="20.1" customHeight="1" spans="1:7">
      <c r="A213" s="34"/>
      <c r="B213" s="35"/>
      <c r="C213" s="35">
        <f>_xlfn.XLOOKUP(B213,'Prod FG'!B:B,'Prod FG'!C:C,"-")</f>
        <v>0</v>
      </c>
      <c r="D213" s="36"/>
      <c r="E213" s="37">
        <f t="shared" si="6"/>
        <v>0</v>
      </c>
      <c r="F213" s="36"/>
      <c r="G213" s="37">
        <f t="shared" si="7"/>
        <v>0</v>
      </c>
    </row>
    <row r="214" s="7" customFormat="1" ht="20.1" customHeight="1" spans="1:7">
      <c r="A214" s="34"/>
      <c r="B214" s="35"/>
      <c r="C214" s="35">
        <f>_xlfn.XLOOKUP(B214,'Prod FG'!B:B,'Prod FG'!C:C,"-")</f>
        <v>0</v>
      </c>
      <c r="D214" s="36"/>
      <c r="E214" s="37">
        <f t="shared" si="6"/>
        <v>0</v>
      </c>
      <c r="F214" s="36"/>
      <c r="G214" s="37">
        <f t="shared" si="7"/>
        <v>0</v>
      </c>
    </row>
    <row r="215" s="7" customFormat="1" ht="20.1" customHeight="1" spans="1:7">
      <c r="A215" s="34"/>
      <c r="B215" s="35"/>
      <c r="C215" s="35">
        <f>_xlfn.XLOOKUP(B215,'Prod FG'!B:B,'Prod FG'!C:C,"-")</f>
        <v>0</v>
      </c>
      <c r="D215" s="36"/>
      <c r="E215" s="37">
        <f t="shared" si="6"/>
        <v>0</v>
      </c>
      <c r="F215" s="36"/>
      <c r="G215" s="37">
        <f t="shared" si="7"/>
        <v>0</v>
      </c>
    </row>
    <row r="216" s="7" customFormat="1" ht="20.1" customHeight="1" spans="1:7">
      <c r="A216" s="34"/>
      <c r="B216" s="35"/>
      <c r="C216" s="35">
        <f>_xlfn.XLOOKUP(B216,'Prod FG'!B:B,'Prod FG'!C:C,"-")</f>
        <v>0</v>
      </c>
      <c r="D216" s="36"/>
      <c r="E216" s="37">
        <f t="shared" si="6"/>
        <v>0</v>
      </c>
      <c r="F216" s="36"/>
      <c r="G216" s="37">
        <f t="shared" si="7"/>
        <v>0</v>
      </c>
    </row>
    <row r="217" s="7" customFormat="1" ht="20.1" customHeight="1" spans="1:7">
      <c r="A217" s="34"/>
      <c r="B217" s="35"/>
      <c r="C217" s="35">
        <f>_xlfn.XLOOKUP(B217,'Prod FG'!B:B,'Prod FG'!C:C,"-")</f>
        <v>0</v>
      </c>
      <c r="D217" s="36"/>
      <c r="E217" s="37">
        <f t="shared" si="6"/>
        <v>0</v>
      </c>
      <c r="F217" s="36"/>
      <c r="G217" s="37">
        <f t="shared" si="7"/>
        <v>0</v>
      </c>
    </row>
    <row r="218" s="7" customFormat="1" ht="20.1" customHeight="1" spans="1:7">
      <c r="A218" s="34"/>
      <c r="B218" s="35"/>
      <c r="C218" s="35">
        <f>_xlfn.XLOOKUP(B218,'Prod FG'!B:B,'Prod FG'!C:C,"-")</f>
        <v>0</v>
      </c>
      <c r="D218" s="36"/>
      <c r="E218" s="37">
        <f t="shared" si="6"/>
        <v>0</v>
      </c>
      <c r="F218" s="36"/>
      <c r="G218" s="37">
        <f t="shared" si="7"/>
        <v>0</v>
      </c>
    </row>
    <row r="219" s="7" customFormat="1" ht="20.1" customHeight="1" spans="1:7">
      <c r="A219" s="34"/>
      <c r="B219" s="35"/>
      <c r="C219" s="35">
        <f>_xlfn.XLOOKUP(B219,'Prod FG'!B:B,'Prod FG'!C:C,"-")</f>
        <v>0</v>
      </c>
      <c r="D219" s="36"/>
      <c r="E219" s="37">
        <f t="shared" si="6"/>
        <v>0</v>
      </c>
      <c r="F219" s="36"/>
      <c r="G219" s="37">
        <f t="shared" si="7"/>
        <v>0</v>
      </c>
    </row>
    <row r="220" s="7" customFormat="1" ht="20.1" customHeight="1" spans="1:7">
      <c r="A220" s="34"/>
      <c r="B220" s="35"/>
      <c r="C220" s="35">
        <f>_xlfn.XLOOKUP(B220,'Prod FG'!B:B,'Prod FG'!C:C,"-")</f>
        <v>0</v>
      </c>
      <c r="D220" s="36"/>
      <c r="E220" s="37">
        <f t="shared" si="6"/>
        <v>0</v>
      </c>
      <c r="F220" s="36"/>
      <c r="G220" s="37">
        <f t="shared" si="7"/>
        <v>0</v>
      </c>
    </row>
    <row r="221" s="7" customFormat="1" ht="20.1" customHeight="1" spans="1:7">
      <c r="A221" s="34"/>
      <c r="B221" s="35"/>
      <c r="C221" s="35">
        <f>_xlfn.XLOOKUP(B221,'Prod FG'!B:B,'Prod FG'!C:C,"-")</f>
        <v>0</v>
      </c>
      <c r="D221" s="36"/>
      <c r="E221" s="37">
        <f t="shared" si="6"/>
        <v>0</v>
      </c>
      <c r="F221" s="36"/>
      <c r="G221" s="37">
        <f t="shared" si="7"/>
        <v>0</v>
      </c>
    </row>
    <row r="222" s="7" customFormat="1" ht="20.1" customHeight="1" spans="1:7">
      <c r="A222" s="34"/>
      <c r="B222" s="35"/>
      <c r="C222" s="35">
        <f>_xlfn.XLOOKUP(B222,'Prod FG'!B:B,'Prod FG'!C:C,"-")</f>
        <v>0</v>
      </c>
      <c r="D222" s="36"/>
      <c r="E222" s="37">
        <f t="shared" si="6"/>
        <v>0</v>
      </c>
      <c r="F222" s="36"/>
      <c r="G222" s="37">
        <f t="shared" si="7"/>
        <v>0</v>
      </c>
    </row>
    <row r="223" s="7" customFormat="1" ht="20.1" customHeight="1" spans="1:7">
      <c r="A223" s="34"/>
      <c r="B223" s="35"/>
      <c r="C223" s="35">
        <f>_xlfn.XLOOKUP(B223,'Prod FG'!B:B,'Prod FG'!C:C,"-")</f>
        <v>0</v>
      </c>
      <c r="D223" s="36"/>
      <c r="E223" s="37">
        <f t="shared" si="6"/>
        <v>0</v>
      </c>
      <c r="F223" s="36"/>
      <c r="G223" s="37">
        <f t="shared" si="7"/>
        <v>0</v>
      </c>
    </row>
    <row r="224" s="7" customFormat="1" ht="20.1" customHeight="1" spans="1:7">
      <c r="A224" s="34"/>
      <c r="B224" s="35"/>
      <c r="C224" s="35">
        <f>_xlfn.XLOOKUP(B224,'Prod FG'!B:B,'Prod FG'!C:C,"-")</f>
        <v>0</v>
      </c>
      <c r="D224" s="36"/>
      <c r="E224" s="37">
        <f t="shared" si="6"/>
        <v>0</v>
      </c>
      <c r="F224" s="36"/>
      <c r="G224" s="37">
        <f t="shared" si="7"/>
        <v>0</v>
      </c>
    </row>
    <row r="225" s="7" customFormat="1" ht="20.1" customHeight="1" spans="1:7">
      <c r="A225" s="34"/>
      <c r="B225" s="35"/>
      <c r="C225" s="35">
        <f>_xlfn.XLOOKUP(B225,'Prod FG'!B:B,'Prod FG'!C:C,"-")</f>
        <v>0</v>
      </c>
      <c r="D225" s="36"/>
      <c r="E225" s="37">
        <f t="shared" si="6"/>
        <v>0</v>
      </c>
      <c r="F225" s="36"/>
      <c r="G225" s="37">
        <f t="shared" si="7"/>
        <v>0</v>
      </c>
    </row>
    <row r="226" s="7" customFormat="1" ht="20.1" customHeight="1" spans="1:7">
      <c r="A226" s="34"/>
      <c r="B226" s="35"/>
      <c r="C226" s="35">
        <f>_xlfn.XLOOKUP(B226,'Prod FG'!B:B,'Prod FG'!C:C,"-")</f>
        <v>0</v>
      </c>
      <c r="D226" s="36"/>
      <c r="E226" s="37">
        <f t="shared" si="6"/>
        <v>0</v>
      </c>
      <c r="F226" s="36"/>
      <c r="G226" s="37">
        <f t="shared" si="7"/>
        <v>0</v>
      </c>
    </row>
    <row r="227" s="7" customFormat="1" ht="20.1" customHeight="1" spans="1:7">
      <c r="A227" s="34"/>
      <c r="B227" s="35"/>
      <c r="C227" s="35">
        <f>_xlfn.XLOOKUP(B227,'Prod FG'!B:B,'Prod FG'!C:C,"-")</f>
        <v>0</v>
      </c>
      <c r="D227" s="36"/>
      <c r="E227" s="37">
        <f t="shared" si="6"/>
        <v>0</v>
      </c>
      <c r="F227" s="36"/>
      <c r="G227" s="37">
        <f t="shared" si="7"/>
        <v>0</v>
      </c>
    </row>
    <row r="228" s="7" customFormat="1" ht="20.1" customHeight="1" spans="1:7">
      <c r="A228" s="34"/>
      <c r="B228" s="35"/>
      <c r="C228" s="35">
        <f>_xlfn.XLOOKUP(B228,'Prod FG'!B:B,'Prod FG'!C:C,"-")</f>
        <v>0</v>
      </c>
      <c r="D228" s="36"/>
      <c r="E228" s="37">
        <f t="shared" si="6"/>
        <v>0</v>
      </c>
      <c r="F228" s="36"/>
      <c r="G228" s="37">
        <f t="shared" si="7"/>
        <v>0</v>
      </c>
    </row>
    <row r="229" s="7" customFormat="1" ht="20.1" customHeight="1" spans="1:7">
      <c r="A229" s="34"/>
      <c r="B229" s="35"/>
      <c r="C229" s="35">
        <f>_xlfn.XLOOKUP(B229,'Prod FG'!B:B,'Prod FG'!C:C,"-")</f>
        <v>0</v>
      </c>
      <c r="D229" s="36"/>
      <c r="E229" s="37">
        <f t="shared" si="6"/>
        <v>0</v>
      </c>
      <c r="F229" s="36"/>
      <c r="G229" s="37">
        <f t="shared" si="7"/>
        <v>0</v>
      </c>
    </row>
    <row r="230" s="7" customFormat="1" ht="20.1" customHeight="1" spans="1:7">
      <c r="A230" s="34"/>
      <c r="B230" s="35"/>
      <c r="C230" s="35">
        <f>_xlfn.XLOOKUP(B230,'Prod FG'!B:B,'Prod FG'!C:C,"-")</f>
        <v>0</v>
      </c>
      <c r="D230" s="36"/>
      <c r="E230" s="37">
        <f t="shared" si="6"/>
        <v>0</v>
      </c>
      <c r="F230" s="36"/>
      <c r="G230" s="37">
        <f t="shared" si="7"/>
        <v>0</v>
      </c>
    </row>
    <row r="231" s="7" customFormat="1" ht="20.1" customHeight="1" spans="1:7">
      <c r="A231" s="34"/>
      <c r="B231" s="35"/>
      <c r="C231" s="35">
        <f>_xlfn.XLOOKUP(B231,'Prod FG'!B:B,'Prod FG'!C:C,"-")</f>
        <v>0</v>
      </c>
      <c r="D231" s="36"/>
      <c r="E231" s="37">
        <f t="shared" si="6"/>
        <v>0</v>
      </c>
      <c r="F231" s="36"/>
      <c r="G231" s="37">
        <f t="shared" si="7"/>
        <v>0</v>
      </c>
    </row>
    <row r="232" s="7" customFormat="1" ht="20.1" customHeight="1" spans="1:7">
      <c r="A232" s="34"/>
      <c r="B232" s="35"/>
      <c r="C232" s="35">
        <f>_xlfn.XLOOKUP(B232,'Prod FG'!B:B,'Prod FG'!C:C,"-")</f>
        <v>0</v>
      </c>
      <c r="D232" s="36"/>
      <c r="E232" s="37">
        <f t="shared" si="6"/>
        <v>0</v>
      </c>
      <c r="F232" s="36"/>
      <c r="G232" s="37">
        <f t="shared" si="7"/>
        <v>0</v>
      </c>
    </row>
    <row r="233" s="7" customFormat="1" ht="20.1" customHeight="1" spans="1:7">
      <c r="A233" s="34"/>
      <c r="B233" s="35"/>
      <c r="C233" s="35">
        <f>_xlfn.XLOOKUP(B233,'Prod FG'!B:B,'Prod FG'!C:C,"-")</f>
        <v>0</v>
      </c>
      <c r="D233" s="36"/>
      <c r="E233" s="37">
        <f t="shared" si="6"/>
        <v>0</v>
      </c>
      <c r="F233" s="36"/>
      <c r="G233" s="37">
        <f t="shared" si="7"/>
        <v>0</v>
      </c>
    </row>
    <row r="234" s="7" customFormat="1" ht="20.1" customHeight="1" spans="1:7">
      <c r="A234" s="34"/>
      <c r="B234" s="35"/>
      <c r="C234" s="35">
        <f>_xlfn.XLOOKUP(B234,'Prod FG'!B:B,'Prod FG'!C:C,"-")</f>
        <v>0</v>
      </c>
      <c r="D234" s="36"/>
      <c r="E234" s="37">
        <f t="shared" si="6"/>
        <v>0</v>
      </c>
      <c r="F234" s="36"/>
      <c r="G234" s="37">
        <f t="shared" si="7"/>
        <v>0</v>
      </c>
    </row>
    <row r="235" s="7" customFormat="1" ht="20.1" customHeight="1" spans="1:7">
      <c r="A235" s="34"/>
      <c r="B235" s="35"/>
      <c r="C235" s="35">
        <f>_xlfn.XLOOKUP(B235,'Prod FG'!B:B,'Prod FG'!C:C,"-")</f>
        <v>0</v>
      </c>
      <c r="D235" s="36"/>
      <c r="E235" s="37">
        <f t="shared" si="6"/>
        <v>0</v>
      </c>
      <c r="F235" s="36"/>
      <c r="G235" s="37">
        <f t="shared" si="7"/>
        <v>0</v>
      </c>
    </row>
    <row r="236" s="7" customFormat="1" ht="20.1" customHeight="1" spans="1:7">
      <c r="A236" s="34"/>
      <c r="B236" s="35"/>
      <c r="C236" s="35">
        <f>_xlfn.XLOOKUP(B236,'Prod FG'!B:B,'Prod FG'!C:C,"-")</f>
        <v>0</v>
      </c>
      <c r="D236" s="36"/>
      <c r="E236" s="37">
        <f t="shared" si="6"/>
        <v>0</v>
      </c>
      <c r="F236" s="36"/>
      <c r="G236" s="37">
        <f t="shared" si="7"/>
        <v>0</v>
      </c>
    </row>
    <row r="237" s="7" customFormat="1" ht="20.1" customHeight="1" spans="1:7">
      <c r="A237" s="34"/>
      <c r="B237" s="35"/>
      <c r="C237" s="35">
        <f>_xlfn.XLOOKUP(B237,'Prod FG'!B:B,'Prod FG'!C:C,"-")</f>
        <v>0</v>
      </c>
      <c r="D237" s="36"/>
      <c r="E237" s="37">
        <f t="shared" si="6"/>
        <v>0</v>
      </c>
      <c r="F237" s="36"/>
      <c r="G237" s="37">
        <f t="shared" si="7"/>
        <v>0</v>
      </c>
    </row>
    <row r="238" s="7" customFormat="1" ht="20.1" customHeight="1" spans="1:7">
      <c r="A238" s="34"/>
      <c r="B238" s="35"/>
      <c r="C238" s="35">
        <f>_xlfn.XLOOKUP(B238,'Prod FG'!B:B,'Prod FG'!C:C,"-")</f>
        <v>0</v>
      </c>
      <c r="D238" s="36"/>
      <c r="E238" s="37">
        <f t="shared" si="6"/>
        <v>0</v>
      </c>
      <c r="F238" s="36"/>
      <c r="G238" s="37">
        <f t="shared" si="7"/>
        <v>0</v>
      </c>
    </row>
    <row r="239" s="7" customFormat="1" ht="20.1" customHeight="1" spans="1:7">
      <c r="A239" s="34"/>
      <c r="B239" s="35"/>
      <c r="C239" s="35">
        <f>_xlfn.XLOOKUP(B239,'Prod FG'!B:B,'Prod FG'!C:C,"-")</f>
        <v>0</v>
      </c>
      <c r="D239" s="36"/>
      <c r="E239" s="37">
        <f t="shared" si="6"/>
        <v>0</v>
      </c>
      <c r="F239" s="36"/>
      <c r="G239" s="37">
        <f t="shared" si="7"/>
        <v>0</v>
      </c>
    </row>
    <row r="240" s="7" customFormat="1" ht="20.1" customHeight="1" spans="1:7">
      <c r="A240" s="34"/>
      <c r="B240" s="35"/>
      <c r="C240" s="35">
        <f>_xlfn.XLOOKUP(B240,'Prod FG'!B:B,'Prod FG'!C:C,"-")</f>
        <v>0</v>
      </c>
      <c r="D240" s="36"/>
      <c r="E240" s="37">
        <f t="shared" si="6"/>
        <v>0</v>
      </c>
      <c r="F240" s="36"/>
      <c r="G240" s="37">
        <f t="shared" si="7"/>
        <v>0</v>
      </c>
    </row>
    <row r="241" s="7" customFormat="1" ht="20.1" customHeight="1" spans="1:7">
      <c r="A241" s="34"/>
      <c r="B241" s="35"/>
      <c r="C241" s="35">
        <f>_xlfn.XLOOKUP(B241,'Prod FG'!B:B,'Prod FG'!C:C,"-")</f>
        <v>0</v>
      </c>
      <c r="D241" s="36"/>
      <c r="E241" s="37">
        <f t="shared" si="6"/>
        <v>0</v>
      </c>
      <c r="F241" s="36"/>
      <c r="G241" s="37">
        <f t="shared" si="7"/>
        <v>0</v>
      </c>
    </row>
    <row r="242" s="7" customFormat="1" ht="20.1" customHeight="1" spans="1:7">
      <c r="A242" s="34"/>
      <c r="B242" s="35"/>
      <c r="C242" s="35">
        <f>_xlfn.XLOOKUP(B242,'Prod FG'!B:B,'Prod FG'!C:C,"-")</f>
        <v>0</v>
      </c>
      <c r="D242" s="36"/>
      <c r="E242" s="37">
        <f t="shared" si="6"/>
        <v>0</v>
      </c>
      <c r="F242" s="36"/>
      <c r="G242" s="37">
        <f t="shared" si="7"/>
        <v>0</v>
      </c>
    </row>
    <row r="243" s="7" customFormat="1" ht="20.1" customHeight="1" spans="1:7">
      <c r="A243" s="34"/>
      <c r="B243" s="35"/>
      <c r="C243" s="35">
        <f>_xlfn.XLOOKUP(B243,'Prod FG'!B:B,'Prod FG'!C:C,"-")</f>
        <v>0</v>
      </c>
      <c r="D243" s="36"/>
      <c r="E243" s="37">
        <f t="shared" si="6"/>
        <v>0</v>
      </c>
      <c r="F243" s="36"/>
      <c r="G243" s="37">
        <f t="shared" si="7"/>
        <v>0</v>
      </c>
    </row>
    <row r="244" s="7" customFormat="1" ht="20.1" customHeight="1" spans="1:7">
      <c r="A244" s="34"/>
      <c r="B244" s="35"/>
      <c r="C244" s="35">
        <f>_xlfn.XLOOKUP(B244,'Prod FG'!B:B,'Prod FG'!C:C,"-")</f>
        <v>0</v>
      </c>
      <c r="D244" s="36"/>
      <c r="E244" s="37">
        <f t="shared" si="6"/>
        <v>0</v>
      </c>
      <c r="F244" s="36"/>
      <c r="G244" s="37">
        <f t="shared" si="7"/>
        <v>0</v>
      </c>
    </row>
    <row r="245" s="7" customFormat="1" ht="20.1" customHeight="1" spans="1:7">
      <c r="A245" s="34"/>
      <c r="B245" s="35"/>
      <c r="C245" s="35">
        <f>_xlfn.XLOOKUP(B245,'Prod FG'!B:B,'Prod FG'!C:C,"-")</f>
        <v>0</v>
      </c>
      <c r="D245" s="36"/>
      <c r="E245" s="37">
        <f t="shared" si="6"/>
        <v>0</v>
      </c>
      <c r="F245" s="36"/>
      <c r="G245" s="37">
        <f t="shared" si="7"/>
        <v>0</v>
      </c>
    </row>
    <row r="246" s="7" customFormat="1" ht="20.1" customHeight="1" spans="1:7">
      <c r="A246" s="34"/>
      <c r="B246" s="35"/>
      <c r="C246" s="35">
        <f>_xlfn.XLOOKUP(B246,'Prod FG'!B:B,'Prod FG'!C:C,"-")</f>
        <v>0</v>
      </c>
      <c r="D246" s="36"/>
      <c r="E246" s="37">
        <f t="shared" si="6"/>
        <v>0</v>
      </c>
      <c r="F246" s="36"/>
      <c r="G246" s="37">
        <f t="shared" si="7"/>
        <v>0</v>
      </c>
    </row>
    <row r="247" s="7" customFormat="1" ht="20.1" customHeight="1" spans="1:7">
      <c r="A247" s="34"/>
      <c r="B247" s="35"/>
      <c r="C247" s="35">
        <f>_xlfn.XLOOKUP(B247,'Prod FG'!B:B,'Prod FG'!C:C,"-")</f>
        <v>0</v>
      </c>
      <c r="D247" s="36"/>
      <c r="E247" s="37">
        <f t="shared" si="6"/>
        <v>0</v>
      </c>
      <c r="F247" s="36"/>
      <c r="G247" s="37">
        <f t="shared" si="7"/>
        <v>0</v>
      </c>
    </row>
    <row r="248" s="7" customFormat="1" ht="20.1" customHeight="1" spans="1:7">
      <c r="A248" s="34"/>
      <c r="B248" s="35"/>
      <c r="C248" s="35">
        <f>_xlfn.XLOOKUP(B248,'Prod FG'!B:B,'Prod FG'!C:C,"-")</f>
        <v>0</v>
      </c>
      <c r="D248" s="36"/>
      <c r="E248" s="37">
        <f t="shared" si="6"/>
        <v>0</v>
      </c>
      <c r="F248" s="36"/>
      <c r="G248" s="37">
        <f t="shared" si="7"/>
        <v>0</v>
      </c>
    </row>
    <row r="249" s="7" customFormat="1" ht="20.1" customHeight="1" spans="1:7">
      <c r="A249" s="34"/>
      <c r="B249" s="35"/>
      <c r="C249" s="35">
        <f>_xlfn.XLOOKUP(B249,'Prod FG'!B:B,'Prod FG'!C:C,"-")</f>
        <v>0</v>
      </c>
      <c r="D249" s="36"/>
      <c r="E249" s="37">
        <f t="shared" si="6"/>
        <v>0</v>
      </c>
      <c r="F249" s="36"/>
      <c r="G249" s="37">
        <f t="shared" si="7"/>
        <v>0</v>
      </c>
    </row>
    <row r="250" s="7" customFormat="1" ht="20.1" customHeight="1" spans="1:7">
      <c r="A250" s="34"/>
      <c r="B250" s="35"/>
      <c r="C250" s="35">
        <f>_xlfn.XLOOKUP(B250,'Prod FG'!B:B,'Prod FG'!C:C,"-")</f>
        <v>0</v>
      </c>
      <c r="D250" s="36"/>
      <c r="E250" s="37">
        <f t="shared" si="6"/>
        <v>0</v>
      </c>
      <c r="F250" s="36"/>
      <c r="G250" s="37">
        <f t="shared" si="7"/>
        <v>0</v>
      </c>
    </row>
    <row r="251" s="7" customFormat="1" ht="20.1" customHeight="1" spans="1:7">
      <c r="A251" s="34"/>
      <c r="B251" s="35"/>
      <c r="C251" s="35">
        <f>_xlfn.XLOOKUP(B251,'Prod FG'!B:B,'Prod FG'!C:C,"-")</f>
        <v>0</v>
      </c>
      <c r="D251" s="36"/>
      <c r="E251" s="37">
        <f t="shared" si="6"/>
        <v>0</v>
      </c>
      <c r="F251" s="36"/>
      <c r="G251" s="37">
        <f t="shared" si="7"/>
        <v>0</v>
      </c>
    </row>
    <row r="252" s="7" customFormat="1" ht="20.1" customHeight="1" spans="1:7">
      <c r="A252" s="34"/>
      <c r="B252" s="35"/>
      <c r="C252" s="35">
        <f>_xlfn.XLOOKUP(B252,'Prod FG'!B:B,'Prod FG'!C:C,"-")</f>
        <v>0</v>
      </c>
      <c r="D252" s="36"/>
      <c r="E252" s="37">
        <f t="shared" si="6"/>
        <v>0</v>
      </c>
      <c r="F252" s="36"/>
      <c r="G252" s="37">
        <f t="shared" si="7"/>
        <v>0</v>
      </c>
    </row>
    <row r="253" s="7" customFormat="1" ht="20.1" customHeight="1" spans="1:7">
      <c r="A253" s="34"/>
      <c r="B253" s="35"/>
      <c r="C253" s="35">
        <f>_xlfn.XLOOKUP(B253,'Prod FG'!B:B,'Prod FG'!C:C,"-")</f>
        <v>0</v>
      </c>
      <c r="D253" s="36"/>
      <c r="E253" s="37">
        <f t="shared" si="6"/>
        <v>0</v>
      </c>
      <c r="F253" s="36"/>
      <c r="G253" s="37">
        <f t="shared" si="7"/>
        <v>0</v>
      </c>
    </row>
    <row r="254" s="7" customFormat="1" ht="20.1" customHeight="1" spans="1:7">
      <c r="A254" s="34"/>
      <c r="B254" s="35"/>
      <c r="C254" s="35">
        <f>_xlfn.XLOOKUP(B254,'Prod FG'!B:B,'Prod FG'!C:C,"-")</f>
        <v>0</v>
      </c>
      <c r="D254" s="36"/>
      <c r="E254" s="37">
        <f t="shared" si="6"/>
        <v>0</v>
      </c>
      <c r="F254" s="36"/>
      <c r="G254" s="37">
        <f t="shared" si="7"/>
        <v>0</v>
      </c>
    </row>
    <row r="255" s="7" customFormat="1" ht="20.1" customHeight="1" spans="1:7">
      <c r="A255" s="34"/>
      <c r="B255" s="35"/>
      <c r="C255" s="35">
        <f>_xlfn.XLOOKUP(B255,'Prod FG'!B:B,'Prod FG'!C:C,"-")</f>
        <v>0</v>
      </c>
      <c r="D255" s="36"/>
      <c r="E255" s="37">
        <f t="shared" si="6"/>
        <v>0</v>
      </c>
      <c r="F255" s="36"/>
      <c r="G255" s="37">
        <f t="shared" si="7"/>
        <v>0</v>
      </c>
    </row>
    <row r="256" s="7" customFormat="1" ht="20.1" customHeight="1" spans="1:7">
      <c r="A256" s="34"/>
      <c r="B256" s="35"/>
      <c r="C256" s="35">
        <f>_xlfn.XLOOKUP(B256,'Prod FG'!B:B,'Prod FG'!C:C,"-")</f>
        <v>0</v>
      </c>
      <c r="D256" s="36"/>
      <c r="E256" s="37">
        <f t="shared" si="6"/>
        <v>0</v>
      </c>
      <c r="F256" s="36"/>
      <c r="G256" s="37">
        <f t="shared" si="7"/>
        <v>0</v>
      </c>
    </row>
    <row r="257" s="7" customFormat="1" ht="20.1" customHeight="1" spans="1:7">
      <c r="A257" s="34"/>
      <c r="B257" s="35"/>
      <c r="C257" s="35">
        <f>_xlfn.XLOOKUP(B257,'Prod FG'!B:B,'Prod FG'!C:C,"-")</f>
        <v>0</v>
      </c>
      <c r="D257" s="36"/>
      <c r="E257" s="37">
        <f t="shared" si="6"/>
        <v>0</v>
      </c>
      <c r="F257" s="36"/>
      <c r="G257" s="37">
        <f t="shared" si="7"/>
        <v>0</v>
      </c>
    </row>
    <row r="258" s="7" customFormat="1" ht="20.1" customHeight="1" spans="1:7">
      <c r="A258" s="34"/>
      <c r="B258" s="35"/>
      <c r="C258" s="35">
        <f>_xlfn.XLOOKUP(B258,'Prod FG'!B:B,'Prod FG'!C:C,"-")</f>
        <v>0</v>
      </c>
      <c r="D258" s="36"/>
      <c r="E258" s="37">
        <f t="shared" si="6"/>
        <v>0</v>
      </c>
      <c r="F258" s="36"/>
      <c r="G258" s="37">
        <f t="shared" si="7"/>
        <v>0</v>
      </c>
    </row>
    <row r="259" s="7" customFormat="1" ht="20.1" customHeight="1" spans="1:7">
      <c r="A259" s="34"/>
      <c r="B259" s="35"/>
      <c r="C259" s="35">
        <f>_xlfn.XLOOKUP(B259,'Prod FG'!B:B,'Prod FG'!C:C,"-")</f>
        <v>0</v>
      </c>
      <c r="D259" s="36"/>
      <c r="E259" s="37">
        <f t="shared" ref="E259:E300" si="8">IFERROR(D259*C259,"-")</f>
        <v>0</v>
      </c>
      <c r="F259" s="36"/>
      <c r="G259" s="37">
        <f t="shared" ref="G259:G300" si="9">IFERROR(F259*C259,"-")</f>
        <v>0</v>
      </c>
    </row>
    <row r="260" s="7" customFormat="1" ht="20.1" customHeight="1" spans="1:7">
      <c r="A260" s="34"/>
      <c r="B260" s="35"/>
      <c r="C260" s="35">
        <f>_xlfn.XLOOKUP(B260,'Prod FG'!B:B,'Prod FG'!C:C,"-")</f>
        <v>0</v>
      </c>
      <c r="D260" s="36"/>
      <c r="E260" s="37">
        <f t="shared" si="8"/>
        <v>0</v>
      </c>
      <c r="F260" s="36"/>
      <c r="G260" s="37">
        <f t="shared" si="9"/>
        <v>0</v>
      </c>
    </row>
    <row r="261" s="7" customFormat="1" ht="20.1" customHeight="1" spans="1:7">
      <c r="A261" s="34"/>
      <c r="B261" s="35"/>
      <c r="C261" s="35">
        <f>_xlfn.XLOOKUP(B261,'Prod FG'!B:B,'Prod FG'!C:C,"-")</f>
        <v>0</v>
      </c>
      <c r="D261" s="36"/>
      <c r="E261" s="37">
        <f t="shared" si="8"/>
        <v>0</v>
      </c>
      <c r="F261" s="36"/>
      <c r="G261" s="37">
        <f t="shared" si="9"/>
        <v>0</v>
      </c>
    </row>
    <row r="262" s="7" customFormat="1" ht="20.1" customHeight="1" spans="1:7">
      <c r="A262" s="34"/>
      <c r="B262" s="35"/>
      <c r="C262" s="35">
        <f>_xlfn.XLOOKUP(B262,'Prod FG'!B:B,'Prod FG'!C:C,"-")</f>
        <v>0</v>
      </c>
      <c r="D262" s="36"/>
      <c r="E262" s="37">
        <f t="shared" si="8"/>
        <v>0</v>
      </c>
      <c r="F262" s="36"/>
      <c r="G262" s="37">
        <f t="shared" si="9"/>
        <v>0</v>
      </c>
    </row>
    <row r="263" s="7" customFormat="1" ht="20.1" customHeight="1" spans="1:7">
      <c r="A263" s="34"/>
      <c r="B263" s="35"/>
      <c r="C263" s="35">
        <f>_xlfn.XLOOKUP(B263,'Prod FG'!B:B,'Prod FG'!C:C,"-")</f>
        <v>0</v>
      </c>
      <c r="D263" s="36"/>
      <c r="E263" s="37">
        <f t="shared" si="8"/>
        <v>0</v>
      </c>
      <c r="F263" s="36"/>
      <c r="G263" s="37">
        <f t="shared" si="9"/>
        <v>0</v>
      </c>
    </row>
    <row r="264" s="7" customFormat="1" ht="20.1" customHeight="1" spans="1:7">
      <c r="A264" s="34"/>
      <c r="B264" s="35"/>
      <c r="C264" s="35">
        <f>_xlfn.XLOOKUP(B264,'Prod FG'!B:B,'Prod FG'!C:C,"-")</f>
        <v>0</v>
      </c>
      <c r="D264" s="36"/>
      <c r="E264" s="37">
        <f t="shared" si="8"/>
        <v>0</v>
      </c>
      <c r="F264" s="36"/>
      <c r="G264" s="37">
        <f t="shared" si="9"/>
        <v>0</v>
      </c>
    </row>
    <row r="265" s="7" customFormat="1" ht="20.1" customHeight="1" spans="1:7">
      <c r="A265" s="34"/>
      <c r="B265" s="35"/>
      <c r="C265" s="35">
        <f>_xlfn.XLOOKUP(B265,'Prod FG'!B:B,'Prod FG'!C:C,"-")</f>
        <v>0</v>
      </c>
      <c r="D265" s="36"/>
      <c r="E265" s="37">
        <f t="shared" si="8"/>
        <v>0</v>
      </c>
      <c r="F265" s="36"/>
      <c r="G265" s="37">
        <f t="shared" si="9"/>
        <v>0</v>
      </c>
    </row>
    <row r="266" s="7" customFormat="1" ht="20.1" customHeight="1" spans="1:7">
      <c r="A266" s="34"/>
      <c r="B266" s="35"/>
      <c r="C266" s="35">
        <f>_xlfn.XLOOKUP(B266,'Prod FG'!B:B,'Prod FG'!C:C,"-")</f>
        <v>0</v>
      </c>
      <c r="D266" s="36"/>
      <c r="E266" s="37">
        <f t="shared" si="8"/>
        <v>0</v>
      </c>
      <c r="F266" s="36"/>
      <c r="G266" s="37">
        <f t="shared" si="9"/>
        <v>0</v>
      </c>
    </row>
    <row r="267" s="7" customFormat="1" ht="20.1" customHeight="1" spans="1:7">
      <c r="A267" s="34"/>
      <c r="B267" s="35"/>
      <c r="C267" s="35">
        <f>_xlfn.XLOOKUP(B267,'Prod FG'!B:B,'Prod FG'!C:C,"-")</f>
        <v>0</v>
      </c>
      <c r="D267" s="36"/>
      <c r="E267" s="37">
        <f t="shared" si="8"/>
        <v>0</v>
      </c>
      <c r="F267" s="36"/>
      <c r="G267" s="37">
        <f t="shared" si="9"/>
        <v>0</v>
      </c>
    </row>
    <row r="268" s="7" customFormat="1" ht="20.1" customHeight="1" spans="1:7">
      <c r="A268" s="34"/>
      <c r="B268" s="35"/>
      <c r="C268" s="35">
        <f>_xlfn.XLOOKUP(B268,'Prod FG'!B:B,'Prod FG'!C:C,"-")</f>
        <v>0</v>
      </c>
      <c r="D268" s="36"/>
      <c r="E268" s="37">
        <f t="shared" si="8"/>
        <v>0</v>
      </c>
      <c r="F268" s="36"/>
      <c r="G268" s="37">
        <f t="shared" si="9"/>
        <v>0</v>
      </c>
    </row>
    <row r="269" s="7" customFormat="1" ht="20.1" customHeight="1" spans="1:7">
      <c r="A269" s="34"/>
      <c r="B269" s="35"/>
      <c r="C269" s="35">
        <f>_xlfn.XLOOKUP(B269,'Prod FG'!B:B,'Prod FG'!C:C,"-")</f>
        <v>0</v>
      </c>
      <c r="D269" s="36"/>
      <c r="E269" s="37">
        <f t="shared" si="8"/>
        <v>0</v>
      </c>
      <c r="F269" s="36"/>
      <c r="G269" s="37">
        <f t="shared" si="9"/>
        <v>0</v>
      </c>
    </row>
    <row r="270" s="7" customFormat="1" ht="20.1" customHeight="1" spans="1:7">
      <c r="A270" s="34"/>
      <c r="B270" s="35"/>
      <c r="C270" s="35">
        <f>_xlfn.XLOOKUP(B270,'Prod FG'!B:B,'Prod FG'!C:C,"-")</f>
        <v>0</v>
      </c>
      <c r="D270" s="36"/>
      <c r="E270" s="37">
        <f t="shared" si="8"/>
        <v>0</v>
      </c>
      <c r="F270" s="36"/>
      <c r="G270" s="37">
        <f t="shared" si="9"/>
        <v>0</v>
      </c>
    </row>
    <row r="271" s="7" customFormat="1" ht="20.1" customHeight="1" spans="1:7">
      <c r="A271" s="34"/>
      <c r="B271" s="35"/>
      <c r="C271" s="35">
        <f>_xlfn.XLOOKUP(B271,'Prod FG'!B:B,'Prod FG'!C:C,"-")</f>
        <v>0</v>
      </c>
      <c r="D271" s="36"/>
      <c r="E271" s="37">
        <f t="shared" si="8"/>
        <v>0</v>
      </c>
      <c r="F271" s="36"/>
      <c r="G271" s="37">
        <f t="shared" si="9"/>
        <v>0</v>
      </c>
    </row>
    <row r="272" s="7" customFormat="1" ht="20.1" customHeight="1" spans="1:7">
      <c r="A272" s="34"/>
      <c r="B272" s="35"/>
      <c r="C272" s="35">
        <f>_xlfn.XLOOKUP(B272,'Prod FG'!B:B,'Prod FG'!C:C,"-")</f>
        <v>0</v>
      </c>
      <c r="D272" s="36"/>
      <c r="E272" s="37">
        <f t="shared" si="8"/>
        <v>0</v>
      </c>
      <c r="F272" s="36"/>
      <c r="G272" s="37">
        <f t="shared" si="9"/>
        <v>0</v>
      </c>
    </row>
    <row r="273" s="7" customFormat="1" ht="20.1" customHeight="1" spans="1:7">
      <c r="A273" s="34"/>
      <c r="B273" s="35"/>
      <c r="C273" s="35">
        <f>_xlfn.XLOOKUP(B273,'Prod FG'!B:B,'Prod FG'!C:C,"-")</f>
        <v>0</v>
      </c>
      <c r="D273" s="36"/>
      <c r="E273" s="37">
        <f t="shared" si="8"/>
        <v>0</v>
      </c>
      <c r="F273" s="36"/>
      <c r="G273" s="37">
        <f t="shared" si="9"/>
        <v>0</v>
      </c>
    </row>
    <row r="274" s="7" customFormat="1" ht="20.1" customHeight="1" spans="1:7">
      <c r="A274" s="34"/>
      <c r="B274" s="35"/>
      <c r="C274" s="35">
        <f>_xlfn.XLOOKUP(B274,'Prod FG'!B:B,'Prod FG'!C:C,"-")</f>
        <v>0</v>
      </c>
      <c r="D274" s="36"/>
      <c r="E274" s="37">
        <f t="shared" si="8"/>
        <v>0</v>
      </c>
      <c r="F274" s="36"/>
      <c r="G274" s="37">
        <f t="shared" si="9"/>
        <v>0</v>
      </c>
    </row>
    <row r="275" s="7" customFormat="1" ht="20.1" customHeight="1" spans="1:7">
      <c r="A275" s="34"/>
      <c r="B275" s="35"/>
      <c r="C275" s="35">
        <f>_xlfn.XLOOKUP(B275,'Prod FG'!B:B,'Prod FG'!C:C,"-")</f>
        <v>0</v>
      </c>
      <c r="D275" s="36"/>
      <c r="E275" s="37">
        <f t="shared" si="8"/>
        <v>0</v>
      </c>
      <c r="F275" s="36"/>
      <c r="G275" s="37">
        <f t="shared" si="9"/>
        <v>0</v>
      </c>
    </row>
    <row r="276" s="7" customFormat="1" ht="20.1" customHeight="1" spans="1:7">
      <c r="A276" s="34"/>
      <c r="B276" s="35"/>
      <c r="C276" s="35">
        <f>_xlfn.XLOOKUP(B276,'Prod FG'!B:B,'Prod FG'!C:C,"-")</f>
        <v>0</v>
      </c>
      <c r="D276" s="36"/>
      <c r="E276" s="37">
        <f t="shared" si="8"/>
        <v>0</v>
      </c>
      <c r="F276" s="36"/>
      <c r="G276" s="37">
        <f t="shared" si="9"/>
        <v>0</v>
      </c>
    </row>
    <row r="277" s="7" customFormat="1" ht="20.1" customHeight="1" spans="1:7">
      <c r="A277" s="34"/>
      <c r="B277" s="35"/>
      <c r="C277" s="35">
        <f>_xlfn.XLOOKUP(B277,'Prod FG'!B:B,'Prod FG'!C:C,"-")</f>
        <v>0</v>
      </c>
      <c r="D277" s="36"/>
      <c r="E277" s="37">
        <f t="shared" si="8"/>
        <v>0</v>
      </c>
      <c r="F277" s="36"/>
      <c r="G277" s="37">
        <f t="shared" si="9"/>
        <v>0</v>
      </c>
    </row>
    <row r="278" s="7" customFormat="1" ht="20.1" customHeight="1" spans="1:7">
      <c r="A278" s="34"/>
      <c r="B278" s="35"/>
      <c r="C278" s="35">
        <f>_xlfn.XLOOKUP(B278,'Prod FG'!B:B,'Prod FG'!C:C,"-")</f>
        <v>0</v>
      </c>
      <c r="D278" s="36"/>
      <c r="E278" s="37">
        <f t="shared" si="8"/>
        <v>0</v>
      </c>
      <c r="F278" s="36"/>
      <c r="G278" s="37">
        <f t="shared" si="9"/>
        <v>0</v>
      </c>
    </row>
    <row r="279" s="7" customFormat="1" ht="20.1" customHeight="1" spans="1:7">
      <c r="A279" s="34"/>
      <c r="B279" s="35"/>
      <c r="C279" s="35">
        <f>_xlfn.XLOOKUP(B279,'Prod FG'!B:B,'Prod FG'!C:C,"-")</f>
        <v>0</v>
      </c>
      <c r="D279" s="36"/>
      <c r="E279" s="37">
        <f t="shared" si="8"/>
        <v>0</v>
      </c>
      <c r="F279" s="36"/>
      <c r="G279" s="37">
        <f t="shared" si="9"/>
        <v>0</v>
      </c>
    </row>
    <row r="280" s="7" customFormat="1" ht="20.1" customHeight="1" spans="1:7">
      <c r="A280" s="34"/>
      <c r="B280" s="35"/>
      <c r="C280" s="35">
        <f>_xlfn.XLOOKUP(B280,'Prod FG'!B:B,'Prod FG'!C:C,"-")</f>
        <v>0</v>
      </c>
      <c r="D280" s="36"/>
      <c r="E280" s="37">
        <f t="shared" si="8"/>
        <v>0</v>
      </c>
      <c r="F280" s="36"/>
      <c r="G280" s="37">
        <f t="shared" si="9"/>
        <v>0</v>
      </c>
    </row>
    <row r="281" s="7" customFormat="1" ht="20.1" customHeight="1" spans="1:7">
      <c r="A281" s="34"/>
      <c r="B281" s="35"/>
      <c r="C281" s="35">
        <f>_xlfn.XLOOKUP(B281,'Prod FG'!B:B,'Prod FG'!C:C,"-")</f>
        <v>0</v>
      </c>
      <c r="D281" s="36"/>
      <c r="E281" s="37">
        <f t="shared" si="8"/>
        <v>0</v>
      </c>
      <c r="F281" s="36"/>
      <c r="G281" s="37">
        <f t="shared" si="9"/>
        <v>0</v>
      </c>
    </row>
    <row r="282" s="7" customFormat="1" ht="20.1" customHeight="1" spans="1:7">
      <c r="A282" s="34"/>
      <c r="B282" s="35"/>
      <c r="C282" s="35">
        <f>_xlfn.XLOOKUP(B282,'Prod FG'!B:B,'Prod FG'!C:C,"-")</f>
        <v>0</v>
      </c>
      <c r="D282" s="36"/>
      <c r="E282" s="37">
        <f t="shared" si="8"/>
        <v>0</v>
      </c>
      <c r="F282" s="36"/>
      <c r="G282" s="37">
        <f t="shared" si="9"/>
        <v>0</v>
      </c>
    </row>
    <row r="283" s="7" customFormat="1" ht="20.1" customHeight="1" spans="1:7">
      <c r="A283" s="34"/>
      <c r="B283" s="35"/>
      <c r="C283" s="35">
        <f>_xlfn.XLOOKUP(B283,'Prod FG'!B:B,'Prod FG'!C:C,"-")</f>
        <v>0</v>
      </c>
      <c r="D283" s="36"/>
      <c r="E283" s="37">
        <f t="shared" si="8"/>
        <v>0</v>
      </c>
      <c r="F283" s="36"/>
      <c r="G283" s="37">
        <f t="shared" si="9"/>
        <v>0</v>
      </c>
    </row>
    <row r="284" s="7" customFormat="1" ht="20.1" customHeight="1" spans="1:7">
      <c r="A284" s="34"/>
      <c r="B284" s="35"/>
      <c r="C284" s="35">
        <f>_xlfn.XLOOKUP(B284,'Prod FG'!B:B,'Prod FG'!C:C,"-")</f>
        <v>0</v>
      </c>
      <c r="D284" s="36"/>
      <c r="E284" s="37">
        <f t="shared" si="8"/>
        <v>0</v>
      </c>
      <c r="F284" s="36"/>
      <c r="G284" s="37">
        <f t="shared" si="9"/>
        <v>0</v>
      </c>
    </row>
    <row r="285" s="7" customFormat="1" ht="20.1" customHeight="1" spans="1:7">
      <c r="A285" s="34"/>
      <c r="B285" s="35"/>
      <c r="C285" s="35">
        <f>_xlfn.XLOOKUP(B285,'Prod FG'!B:B,'Prod FG'!C:C,"-")</f>
        <v>0</v>
      </c>
      <c r="D285" s="36"/>
      <c r="E285" s="37">
        <f t="shared" si="8"/>
        <v>0</v>
      </c>
      <c r="F285" s="36"/>
      <c r="G285" s="37">
        <f t="shared" si="9"/>
        <v>0</v>
      </c>
    </row>
    <row r="286" s="7" customFormat="1" ht="20.1" customHeight="1" spans="1:7">
      <c r="A286" s="34"/>
      <c r="B286" s="35"/>
      <c r="C286" s="35">
        <f>_xlfn.XLOOKUP(B286,'Prod FG'!B:B,'Prod FG'!C:C,"-")</f>
        <v>0</v>
      </c>
      <c r="D286" s="36"/>
      <c r="E286" s="37">
        <f t="shared" si="8"/>
        <v>0</v>
      </c>
      <c r="F286" s="36"/>
      <c r="G286" s="37">
        <f t="shared" si="9"/>
        <v>0</v>
      </c>
    </row>
    <row r="287" s="7" customFormat="1" ht="20.1" customHeight="1" spans="1:7">
      <c r="A287" s="34"/>
      <c r="B287" s="35"/>
      <c r="C287" s="35">
        <f>_xlfn.XLOOKUP(B287,'Prod FG'!B:B,'Prod FG'!C:C,"-")</f>
        <v>0</v>
      </c>
      <c r="D287" s="36"/>
      <c r="E287" s="37">
        <f t="shared" si="8"/>
        <v>0</v>
      </c>
      <c r="F287" s="36"/>
      <c r="G287" s="37">
        <f t="shared" si="9"/>
        <v>0</v>
      </c>
    </row>
    <row r="288" s="7" customFormat="1" ht="20.1" customHeight="1" spans="1:7">
      <c r="A288" s="34"/>
      <c r="B288" s="35"/>
      <c r="C288" s="35">
        <f>_xlfn.XLOOKUP(B288,'Prod FG'!B:B,'Prod FG'!C:C,"-")</f>
        <v>0</v>
      </c>
      <c r="D288" s="36"/>
      <c r="E288" s="37">
        <f t="shared" si="8"/>
        <v>0</v>
      </c>
      <c r="F288" s="36"/>
      <c r="G288" s="37">
        <f t="shared" si="9"/>
        <v>0</v>
      </c>
    </row>
    <row r="289" s="7" customFormat="1" ht="20.1" customHeight="1" spans="1:7">
      <c r="A289" s="34"/>
      <c r="B289" s="35"/>
      <c r="C289" s="35">
        <f>_xlfn.XLOOKUP(B289,'Prod FG'!B:B,'Prod FG'!C:C,"-")</f>
        <v>0</v>
      </c>
      <c r="D289" s="36"/>
      <c r="E289" s="37">
        <f t="shared" si="8"/>
        <v>0</v>
      </c>
      <c r="F289" s="36"/>
      <c r="G289" s="37">
        <f t="shared" si="9"/>
        <v>0</v>
      </c>
    </row>
    <row r="290" s="7" customFormat="1" ht="20.1" customHeight="1" spans="1:7">
      <c r="A290" s="34"/>
      <c r="B290" s="35"/>
      <c r="C290" s="35">
        <f>_xlfn.XLOOKUP(B290,'Prod FG'!B:B,'Prod FG'!C:C,"-")</f>
        <v>0</v>
      </c>
      <c r="D290" s="36"/>
      <c r="E290" s="37">
        <f t="shared" si="8"/>
        <v>0</v>
      </c>
      <c r="F290" s="36"/>
      <c r="G290" s="37">
        <f t="shared" si="9"/>
        <v>0</v>
      </c>
    </row>
    <row r="291" s="7" customFormat="1" ht="20.1" customHeight="1" spans="1:7">
      <c r="A291" s="34"/>
      <c r="B291" s="35"/>
      <c r="C291" s="35">
        <f>_xlfn.XLOOKUP(B291,'Prod FG'!B:B,'Prod FG'!C:C,"-")</f>
        <v>0</v>
      </c>
      <c r="D291" s="36"/>
      <c r="E291" s="37">
        <f t="shared" si="8"/>
        <v>0</v>
      </c>
      <c r="F291" s="36"/>
      <c r="G291" s="37">
        <f t="shared" si="9"/>
        <v>0</v>
      </c>
    </row>
    <row r="292" s="7" customFormat="1" ht="20.1" customHeight="1" spans="1:7">
      <c r="A292" s="34"/>
      <c r="B292" s="35"/>
      <c r="C292" s="35">
        <f>_xlfn.XLOOKUP(B292,'Prod FG'!B:B,'Prod FG'!C:C,"-")</f>
        <v>0</v>
      </c>
      <c r="D292" s="36"/>
      <c r="E292" s="37">
        <f t="shared" si="8"/>
        <v>0</v>
      </c>
      <c r="F292" s="36"/>
      <c r="G292" s="37">
        <f t="shared" si="9"/>
        <v>0</v>
      </c>
    </row>
    <row r="293" s="7" customFormat="1" ht="20.1" customHeight="1" spans="1:7">
      <c r="A293" s="34"/>
      <c r="B293" s="35"/>
      <c r="C293" s="35">
        <f>_xlfn.XLOOKUP(B293,'Prod FG'!B:B,'Prod FG'!C:C,"-")</f>
        <v>0</v>
      </c>
      <c r="D293" s="36"/>
      <c r="E293" s="37">
        <f t="shared" si="8"/>
        <v>0</v>
      </c>
      <c r="F293" s="36"/>
      <c r="G293" s="37">
        <f t="shared" si="9"/>
        <v>0</v>
      </c>
    </row>
    <row r="294" s="7" customFormat="1" ht="20.1" customHeight="1" spans="1:7">
      <c r="A294" s="34"/>
      <c r="B294" s="35"/>
      <c r="C294" s="35">
        <f>_xlfn.XLOOKUP(B294,'Prod FG'!B:B,'Prod FG'!C:C,"-")</f>
        <v>0</v>
      </c>
      <c r="D294" s="36"/>
      <c r="E294" s="37">
        <f t="shared" si="8"/>
        <v>0</v>
      </c>
      <c r="F294" s="36"/>
      <c r="G294" s="37">
        <f t="shared" si="9"/>
        <v>0</v>
      </c>
    </row>
    <row r="295" s="7" customFormat="1" ht="20.1" customHeight="1" spans="1:7">
      <c r="A295" s="34"/>
      <c r="B295" s="35"/>
      <c r="C295" s="35">
        <f>_xlfn.XLOOKUP(B295,'Prod FG'!B:B,'Prod FG'!C:C,"-")</f>
        <v>0</v>
      </c>
      <c r="D295" s="36"/>
      <c r="E295" s="37">
        <f t="shared" si="8"/>
        <v>0</v>
      </c>
      <c r="F295" s="36"/>
      <c r="G295" s="37">
        <f t="shared" si="9"/>
        <v>0</v>
      </c>
    </row>
    <row r="296" s="7" customFormat="1" ht="20.1" customHeight="1" spans="1:7">
      <c r="A296" s="34"/>
      <c r="B296" s="35"/>
      <c r="C296" s="35">
        <f>_xlfn.XLOOKUP(B296,'Prod FG'!B:B,'Prod FG'!C:C,"-")</f>
        <v>0</v>
      </c>
      <c r="D296" s="36"/>
      <c r="E296" s="37">
        <f t="shared" si="8"/>
        <v>0</v>
      </c>
      <c r="F296" s="36"/>
      <c r="G296" s="37">
        <f t="shared" si="9"/>
        <v>0</v>
      </c>
    </row>
    <row r="297" s="7" customFormat="1" ht="20.1" customHeight="1" spans="1:7">
      <c r="A297" s="34"/>
      <c r="B297" s="35"/>
      <c r="C297" s="35">
        <f>_xlfn.XLOOKUP(B297,'Prod FG'!B:B,'Prod FG'!C:C,"-")</f>
        <v>0</v>
      </c>
      <c r="D297" s="36"/>
      <c r="E297" s="37">
        <f t="shared" si="8"/>
        <v>0</v>
      </c>
      <c r="F297" s="36"/>
      <c r="G297" s="37">
        <f t="shared" si="9"/>
        <v>0</v>
      </c>
    </row>
    <row r="298" s="7" customFormat="1" ht="20.1" customHeight="1" spans="1:7">
      <c r="A298" s="34"/>
      <c r="B298" s="35"/>
      <c r="C298" s="35">
        <f>_xlfn.XLOOKUP(B298,'Prod FG'!B:B,'Prod FG'!C:C,"-")</f>
        <v>0</v>
      </c>
      <c r="D298" s="36"/>
      <c r="E298" s="37">
        <f t="shared" si="8"/>
        <v>0</v>
      </c>
      <c r="F298" s="36"/>
      <c r="G298" s="37">
        <f t="shared" si="9"/>
        <v>0</v>
      </c>
    </row>
    <row r="299" s="7" customFormat="1" ht="20.1" customHeight="1" spans="1:7">
      <c r="A299" s="34"/>
      <c r="B299" s="35"/>
      <c r="C299" s="35">
        <f>_xlfn.XLOOKUP(B299,'Prod FG'!B:B,'Prod FG'!C:C,"-")</f>
        <v>0</v>
      </c>
      <c r="D299" s="36"/>
      <c r="E299" s="37">
        <f t="shared" si="8"/>
        <v>0</v>
      </c>
      <c r="F299" s="36"/>
      <c r="G299" s="37">
        <f t="shared" si="9"/>
        <v>0</v>
      </c>
    </row>
    <row r="300" s="7" customFormat="1" ht="20.1" customHeight="1" spans="1:7">
      <c r="A300" s="34"/>
      <c r="B300" s="35"/>
      <c r="C300" s="35">
        <f>_xlfn.XLOOKUP(B300,'Prod FG'!B:B,'Prod FG'!C:C,"-")</f>
        <v>0</v>
      </c>
      <c r="D300" s="36"/>
      <c r="E300" s="37">
        <f t="shared" si="8"/>
        <v>0</v>
      </c>
      <c r="F300" s="36"/>
      <c r="G300" s="37">
        <f t="shared" si="9"/>
        <v>0</v>
      </c>
    </row>
  </sheetData>
  <dataValidations count="1">
    <dataValidation type="list" allowBlank="1" showInputMessage="1" showErrorMessage="1" sqref="B3:B300">
      <formula1>'Prod FG'!$B$2:$B$206</formula1>
    </dataValidation>
  </dataValidations>
  <pageMargins left="0.75" right="0.75" top="1" bottom="1" header="0.5" footer="0.5"/>
  <headerFooter/>
  <ignoredErrors>
    <ignoredError sqref="G4:K5 A1:C2 H3:M3 G6:M22 F2:M2 F1:L1" listDataValidatio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topLeftCell="A113" workbookViewId="0">
      <selection activeCell="A4" sqref="A4:A129"/>
    </sheetView>
  </sheetViews>
  <sheetFormatPr defaultColWidth="9" defaultRowHeight="15"/>
  <cols>
    <col min="1" max="1" width="12.5714285714286" customWidth="1"/>
    <col min="2" max="2" width="51.1428571428571" customWidth="1"/>
    <col min="3" max="3" width="7.42857142857143" hidden="1" customWidth="1"/>
    <col min="4" max="4" width="12.7142857142857" customWidth="1"/>
    <col min="5" max="5" width="8.57142857142857" customWidth="1"/>
    <col min="6" max="6" width="10.2857142857143" customWidth="1"/>
    <col min="10" max="10" width="10" customWidth="1"/>
    <col min="11" max="11" width="9.14285714285714" customWidth="1"/>
  </cols>
  <sheetData>
    <row r="1" spans="1:11">
      <c r="F1" s="31">
        <f>SUM(tbl_raw_sales7[Sales Kgs])</f>
        <v>16388.3704</v>
      </c>
    </row>
    <row r="2" ht="20.1" customHeight="1" spans="1:11">
      <c r="A2" s="22">
        <f ca="1">TODAY()-1</f>
        <v>46169</v>
      </c>
      <c r="E2" s="7"/>
      <c r="F2" s="32">
        <f ca="1">SUMIF(A4:A129,A2,F4:F129)</f>
        <v>16388.3704</v>
      </c>
    </row>
    <row r="3" s="30" customFormat="1" ht="30" spans="1:11">
      <c r="A3" s="33" t="s">
        <v>149</v>
      </c>
      <c r="B3" s="33" t="s">
        <v>4</v>
      </c>
      <c r="C3" s="33" t="s">
        <v>6</v>
      </c>
      <c r="D3" s="33" t="s">
        <v>5</v>
      </c>
      <c r="E3" s="33" t="s">
        <v>235</v>
      </c>
      <c r="F3" s="33" t="s">
        <v>236</v>
      </c>
    </row>
    <row r="4" s="7" customFormat="1" ht="20.1" customHeight="1" spans="1:11">
      <c r="A4" s="34">
        <v>46169</v>
      </c>
      <c r="B4" s="35" t="s">
        <v>9</v>
      </c>
      <c r="C4" s="35">
        <f>_xlfn.XLOOKUP(B4,'Prod FG'!B:B,'Prod FG'!C:C,"-")</f>
        <v>0.3905</v>
      </c>
      <c r="D4" s="35" t="s">
        <v>10</v>
      </c>
      <c r="E4" s="36">
        <v>312</v>
      </c>
      <c r="F4" s="37">
        <f t="shared" ref="F4:F67" si="0">IFERROR(E4*C4,"-")</f>
        <v>121.836</v>
      </c>
      <c r="I4" s="35" t="s">
        <v>10</v>
      </c>
      <c r="J4" s="38">
        <f>SUMIF(tbl_raw_sales7[Category],I4,tbl_raw_sales7[Sales Kgs])</f>
        <v>7472.2444</v>
      </c>
    </row>
    <row r="5" s="7" customFormat="1" ht="20.1" customHeight="1" spans="1:11">
      <c r="A5" s="34">
        <v>46169</v>
      </c>
      <c r="B5" s="35" t="s">
        <v>11</v>
      </c>
      <c r="C5" s="35">
        <f>_xlfn.XLOOKUP(B5,'Prod FG'!B:B,'Prod FG'!C:C,"-")</f>
        <v>0.4788</v>
      </c>
      <c r="D5" s="35" t="s">
        <v>10</v>
      </c>
      <c r="E5" s="36">
        <v>36</v>
      </c>
      <c r="F5" s="37">
        <f t="shared" si="0"/>
        <v>17.2368</v>
      </c>
      <c r="I5" s="35" t="s">
        <v>12</v>
      </c>
      <c r="J5" s="38">
        <f>SUMIF(tbl_raw_sales7[Category],I5,tbl_raw_sales7[Sales Kgs])</f>
        <v>6104.126</v>
      </c>
      <c r="K5" s="39"/>
    </row>
    <row r="6" s="7" customFormat="1" ht="20.1" customHeight="1" spans="1:11">
      <c r="A6" s="34">
        <v>46169</v>
      </c>
      <c r="B6" s="35" t="s">
        <v>13</v>
      </c>
      <c r="C6" s="35">
        <f>_xlfn.XLOOKUP(B6,'Prod FG'!B:B,'Prod FG'!C:C,"-")</f>
        <v>0.6475</v>
      </c>
      <c r="D6" s="35" t="s">
        <v>10</v>
      </c>
      <c r="E6" s="36">
        <v>48</v>
      </c>
      <c r="F6" s="37">
        <f t="shared" si="0"/>
        <v>31.08</v>
      </c>
      <c r="I6" s="35" t="s">
        <v>16</v>
      </c>
      <c r="J6" s="38">
        <f>SUMIF(tbl_raw_sales7[Category],I6,tbl_raw_sales7[Sales Kgs])</f>
        <v>2812</v>
      </c>
      <c r="K6" s="39"/>
    </row>
    <row r="7" s="7" customFormat="1" ht="20.1" customHeight="1" spans="1:11">
      <c r="A7" s="34">
        <v>46169</v>
      </c>
      <c r="B7" s="35" t="s">
        <v>14</v>
      </c>
      <c r="C7" s="35">
        <f>_xlfn.XLOOKUP(B7,'Prod FG'!B:B,'Prod FG'!C:C,"-")</f>
        <v>0.3685</v>
      </c>
      <c r="D7" s="35" t="s">
        <v>12</v>
      </c>
      <c r="E7" s="36">
        <v>0</v>
      </c>
      <c r="F7" s="37">
        <f t="shared" si="0"/>
        <v>0</v>
      </c>
      <c r="J7" s="39"/>
      <c r="K7" s="39"/>
    </row>
    <row r="8" s="7" customFormat="1" ht="20.1" customHeight="1" spans="1:11">
      <c r="A8" s="34">
        <v>46169</v>
      </c>
      <c r="B8" s="35" t="s">
        <v>17</v>
      </c>
      <c r="C8" s="35">
        <f>_xlfn.XLOOKUP(B8,'Prod FG'!B:B,'Prod FG'!C:C,"-")</f>
        <v>0.232</v>
      </c>
      <c r="D8" s="35" t="s">
        <v>12</v>
      </c>
      <c r="E8" s="36">
        <v>0</v>
      </c>
      <c r="F8" s="37">
        <f t="shared" si="0"/>
        <v>0</v>
      </c>
      <c r="J8" s="39"/>
      <c r="K8" s="39"/>
    </row>
    <row r="9" s="7" customFormat="1" ht="20.1" customHeight="1" spans="1:11">
      <c r="A9" s="34">
        <v>46169</v>
      </c>
      <c r="B9" s="35" t="s">
        <v>18</v>
      </c>
      <c r="C9" s="35">
        <f>_xlfn.XLOOKUP(B9,'Prod FG'!B:B,'Prod FG'!C:C,"-")</f>
        <v>2.155</v>
      </c>
      <c r="D9" s="35" t="s">
        <v>10</v>
      </c>
      <c r="E9" s="36">
        <v>0</v>
      </c>
      <c r="F9" s="37">
        <f t="shared" si="0"/>
        <v>0</v>
      </c>
      <c r="J9" s="39"/>
      <c r="K9" s="39"/>
    </row>
    <row r="10" s="7" customFormat="1" ht="20.1" customHeight="1" spans="1:11">
      <c r="A10" s="34">
        <v>46169</v>
      </c>
      <c r="B10" s="35" t="s">
        <v>19</v>
      </c>
      <c r="C10" s="35">
        <f>_xlfn.XLOOKUP(B10,'Prod FG'!B:B,'Prod FG'!C:C,"-")</f>
        <v>3.05</v>
      </c>
      <c r="D10" s="35" t="s">
        <v>10</v>
      </c>
      <c r="E10" s="36">
        <v>0</v>
      </c>
      <c r="F10" s="37">
        <f t="shared" si="0"/>
        <v>0</v>
      </c>
      <c r="J10" s="39"/>
      <c r="K10" s="39"/>
    </row>
    <row r="11" s="7" customFormat="1" ht="20.1" customHeight="1" spans="1:11">
      <c r="A11" s="34">
        <v>46169</v>
      </c>
      <c r="B11" s="35" t="s">
        <v>20</v>
      </c>
      <c r="C11" s="35">
        <f>_xlfn.XLOOKUP(B11,'Prod FG'!B:B,'Prod FG'!C:C,"-")</f>
        <v>1.35</v>
      </c>
      <c r="D11" s="35" t="s">
        <v>12</v>
      </c>
      <c r="E11" s="36">
        <v>0</v>
      </c>
      <c r="F11" s="37">
        <f t="shared" si="0"/>
        <v>0</v>
      </c>
      <c r="J11" s="39"/>
      <c r="K11" s="39"/>
    </row>
    <row r="12" s="7" customFormat="1" ht="20.1" customHeight="1" spans="1:11">
      <c r="A12" s="34">
        <v>46169</v>
      </c>
      <c r="B12" s="35" t="s">
        <v>21</v>
      </c>
      <c r="C12" s="35">
        <f>_xlfn.XLOOKUP(B12,'Prod FG'!B:B,'Prod FG'!C:C,"-")</f>
        <v>0.88</v>
      </c>
      <c r="D12" s="35" t="s">
        <v>12</v>
      </c>
      <c r="E12" s="36">
        <v>0</v>
      </c>
      <c r="F12" s="37">
        <f t="shared" si="0"/>
        <v>0</v>
      </c>
      <c r="J12" s="39"/>
      <c r="K12" s="39"/>
    </row>
    <row r="13" s="7" customFormat="1" ht="20.1" customHeight="1" spans="1:11">
      <c r="A13" s="34">
        <v>46169</v>
      </c>
      <c r="B13" s="35" t="s">
        <v>22</v>
      </c>
      <c r="C13" s="35">
        <f>_xlfn.XLOOKUP(B13,'Prod FG'!B:B,'Prod FG'!C:C,"-")</f>
        <v>0.58</v>
      </c>
      <c r="D13" s="35" t="s">
        <v>12</v>
      </c>
      <c r="E13" s="36">
        <v>0</v>
      </c>
      <c r="F13" s="37">
        <f t="shared" si="0"/>
        <v>0</v>
      </c>
      <c r="J13" s="39"/>
      <c r="K13" s="39"/>
    </row>
    <row r="14" s="7" customFormat="1" ht="20.1" customHeight="1" spans="1:11">
      <c r="A14" s="34">
        <v>46169</v>
      </c>
      <c r="B14" s="35" t="s">
        <v>23</v>
      </c>
      <c r="C14" s="35">
        <f>_xlfn.XLOOKUP(B14,'Prod FG'!B:B,'Prod FG'!C:C,"-")</f>
        <v>0.27</v>
      </c>
      <c r="D14" s="35" t="s">
        <v>12</v>
      </c>
      <c r="E14" s="36">
        <v>0</v>
      </c>
      <c r="F14" s="37">
        <f t="shared" si="0"/>
        <v>0</v>
      </c>
      <c r="J14" s="39"/>
      <c r="K14" s="39"/>
    </row>
    <row r="15" s="7" customFormat="1" ht="20.1" customHeight="1" spans="1:11">
      <c r="A15" s="34">
        <v>46169</v>
      </c>
      <c r="B15" s="35" t="s">
        <v>24</v>
      </c>
      <c r="C15" s="35">
        <f>_xlfn.XLOOKUP(B15,'Prod FG'!B:B,'Prod FG'!C:C,"-")</f>
        <v>0.385</v>
      </c>
      <c r="D15" s="35" t="s">
        <v>12</v>
      </c>
      <c r="E15" s="36">
        <v>0</v>
      </c>
      <c r="F15" s="37">
        <f t="shared" si="0"/>
        <v>0</v>
      </c>
      <c r="J15" s="39"/>
      <c r="K15" s="39"/>
    </row>
    <row r="16" s="7" customFormat="1" ht="20.1" customHeight="1" spans="1:11">
      <c r="A16" s="34">
        <v>46169</v>
      </c>
      <c r="B16" s="35" t="s">
        <v>25</v>
      </c>
      <c r="C16" s="35">
        <f>_xlfn.XLOOKUP(B16,'Prod FG'!B:B,'Prod FG'!C:C,"-")</f>
        <v>1.5</v>
      </c>
      <c r="D16" s="35" t="s">
        <v>10</v>
      </c>
      <c r="E16" s="36">
        <v>30</v>
      </c>
      <c r="F16" s="37">
        <f t="shared" si="0"/>
        <v>45</v>
      </c>
      <c r="J16" s="39"/>
      <c r="K16" s="39"/>
    </row>
    <row r="17" s="7" customFormat="1" ht="20.1" customHeight="1" spans="1:11">
      <c r="A17" s="34">
        <v>46169</v>
      </c>
      <c r="B17" s="35" t="s">
        <v>26</v>
      </c>
      <c r="C17" s="35">
        <f>_xlfn.XLOOKUP(B17,'Prod FG'!B:B,'Prod FG'!C:C,"-")</f>
        <v>0.904</v>
      </c>
      <c r="D17" s="35" t="s">
        <v>10</v>
      </c>
      <c r="E17" s="36">
        <v>30</v>
      </c>
      <c r="F17" s="37">
        <f t="shared" si="0"/>
        <v>27.12</v>
      </c>
      <c r="J17" s="39"/>
      <c r="K17" s="39"/>
    </row>
    <row r="18" s="7" customFormat="1" ht="20.1" customHeight="1" spans="1:11">
      <c r="A18" s="34">
        <v>46169</v>
      </c>
      <c r="B18" s="35" t="s">
        <v>27</v>
      </c>
      <c r="C18" s="35">
        <f>_xlfn.XLOOKUP(B18,'Prod FG'!B:B,'Prod FG'!C:C,"-")</f>
        <v>0.409</v>
      </c>
      <c r="D18" s="35" t="s">
        <v>10</v>
      </c>
      <c r="E18" s="36">
        <v>120</v>
      </c>
      <c r="F18" s="37">
        <f t="shared" si="0"/>
        <v>49.08</v>
      </c>
      <c r="J18" s="39"/>
      <c r="K18" s="39"/>
    </row>
    <row r="19" s="7" customFormat="1" ht="20.1" customHeight="1" spans="1:11">
      <c r="A19" s="34">
        <v>46169</v>
      </c>
      <c r="B19" s="35" t="s">
        <v>28</v>
      </c>
      <c r="C19" s="35">
        <f>_xlfn.XLOOKUP(B19,'Prod FG'!B:B,'Prod FG'!C:C,"-")</f>
        <v>0.806</v>
      </c>
      <c r="D19" s="35" t="s">
        <v>10</v>
      </c>
      <c r="E19" s="36">
        <v>120</v>
      </c>
      <c r="F19" s="37">
        <f t="shared" si="0"/>
        <v>96.72</v>
      </c>
      <c r="J19" s="39"/>
      <c r="K19" s="39"/>
    </row>
    <row r="20" s="7" customFormat="1" ht="20.1" customHeight="1" spans="1:11">
      <c r="A20" s="34">
        <v>46169</v>
      </c>
      <c r="B20" s="35" t="s">
        <v>29</v>
      </c>
      <c r="C20" s="35">
        <f>_xlfn.XLOOKUP(B20,'Prod FG'!B:B,'Prod FG'!C:C,"-")</f>
        <v>0.424</v>
      </c>
      <c r="D20" s="35" t="s">
        <v>10</v>
      </c>
      <c r="E20" s="36">
        <v>0</v>
      </c>
      <c r="F20" s="37">
        <f t="shared" si="0"/>
        <v>0</v>
      </c>
      <c r="J20" s="39"/>
      <c r="K20" s="39"/>
    </row>
    <row r="21" s="7" customFormat="1" ht="20.1" customHeight="1" spans="1:11">
      <c r="A21" s="34">
        <v>46169</v>
      </c>
      <c r="B21" s="35" t="s">
        <v>30</v>
      </c>
      <c r="C21" s="35">
        <f>_xlfn.XLOOKUP(B21,'Prod FG'!B:B,'Prod FG'!C:C,"-")</f>
        <v>0.2565</v>
      </c>
      <c r="D21" s="35" t="s">
        <v>10</v>
      </c>
      <c r="E21" s="36">
        <v>120</v>
      </c>
      <c r="F21" s="37">
        <f t="shared" si="0"/>
        <v>30.78</v>
      </c>
      <c r="J21" s="39"/>
      <c r="K21" s="39"/>
    </row>
    <row r="22" s="7" customFormat="1" ht="20.1" customHeight="1" spans="1:11">
      <c r="A22" s="34">
        <v>46169</v>
      </c>
      <c r="B22" s="35" t="s">
        <v>31</v>
      </c>
      <c r="C22" s="35">
        <f>_xlfn.XLOOKUP(B22,'Prod FG'!B:B,'Prod FG'!C:C,"-")</f>
        <v>1.5</v>
      </c>
      <c r="D22" s="35" t="s">
        <v>10</v>
      </c>
      <c r="E22" s="36">
        <v>0</v>
      </c>
      <c r="F22" s="37">
        <f t="shared" si="0"/>
        <v>0</v>
      </c>
      <c r="J22" s="39"/>
      <c r="K22" s="39"/>
    </row>
    <row r="23" s="7" customFormat="1" ht="20.1" customHeight="1" spans="1:11">
      <c r="A23" s="34">
        <v>46169</v>
      </c>
      <c r="B23" s="35" t="s">
        <v>32</v>
      </c>
      <c r="C23" s="35">
        <f>_xlfn.XLOOKUP(B23,'Prod FG'!B:B,'Prod FG'!C:C,"-")</f>
        <v>0.886</v>
      </c>
      <c r="D23" s="35" t="s">
        <v>12</v>
      </c>
      <c r="E23" s="36">
        <v>60</v>
      </c>
      <c r="F23" s="37">
        <f t="shared" si="0"/>
        <v>53.16</v>
      </c>
      <c r="J23" s="39"/>
      <c r="K23" s="39"/>
    </row>
    <row r="24" s="7" customFormat="1" ht="20.1" customHeight="1" spans="1:11">
      <c r="A24" s="34">
        <v>46169</v>
      </c>
      <c r="B24" s="35" t="s">
        <v>33</v>
      </c>
      <c r="C24" s="35">
        <f>_xlfn.XLOOKUP(B24,'Prod FG'!B:B,'Prod FG'!C:C,"-")</f>
        <v>2.225</v>
      </c>
      <c r="D24" s="35" t="s">
        <v>12</v>
      </c>
      <c r="E24" s="36">
        <v>0</v>
      </c>
      <c r="F24" s="37">
        <f t="shared" si="0"/>
        <v>0</v>
      </c>
      <c r="J24" s="39"/>
      <c r="K24" s="39"/>
    </row>
    <row r="25" s="7" customFormat="1" ht="20.1" customHeight="1" spans="1:11">
      <c r="A25" s="34">
        <v>46169</v>
      </c>
      <c r="B25" s="35" t="s">
        <v>34</v>
      </c>
      <c r="C25" s="35">
        <f>_xlfn.XLOOKUP(B25,'Prod FG'!B:B,'Prod FG'!C:C,"-")</f>
        <v>2.3</v>
      </c>
      <c r="D25" s="35" t="s">
        <v>12</v>
      </c>
      <c r="E25" s="36">
        <v>1000</v>
      </c>
      <c r="F25" s="37">
        <f t="shared" si="0"/>
        <v>2300</v>
      </c>
      <c r="J25" s="39"/>
      <c r="K25" s="39"/>
    </row>
    <row r="26" s="7" customFormat="1" ht="20.1" customHeight="1" spans="1:11">
      <c r="A26" s="34">
        <v>46169</v>
      </c>
      <c r="B26" s="35" t="s">
        <v>35</v>
      </c>
      <c r="C26" s="35">
        <f>_xlfn.XLOOKUP(B26,'Prod FG'!B:B,'Prod FG'!C:C,"-")</f>
        <v>2.3</v>
      </c>
      <c r="D26" s="35" t="s">
        <v>12</v>
      </c>
      <c r="E26" s="36">
        <v>0</v>
      </c>
      <c r="F26" s="37">
        <f t="shared" si="0"/>
        <v>0</v>
      </c>
      <c r="J26" s="39"/>
      <c r="K26" s="39"/>
    </row>
    <row r="27" s="7" customFormat="1" ht="20.1" customHeight="1" spans="1:11">
      <c r="A27" s="34">
        <v>46169</v>
      </c>
      <c r="B27" s="35" t="s">
        <v>36</v>
      </c>
      <c r="C27" s="35">
        <f>_xlfn.XLOOKUP(B27,'Prod FG'!B:B,'Prod FG'!C:C,"-")</f>
        <v>2.3</v>
      </c>
      <c r="D27" s="35" t="s">
        <v>10</v>
      </c>
      <c r="E27" s="36">
        <v>2000</v>
      </c>
      <c r="F27" s="37">
        <f t="shared" si="0"/>
        <v>4600</v>
      </c>
      <c r="J27" s="39"/>
      <c r="K27" s="39"/>
    </row>
    <row r="28" s="7" customFormat="1" ht="20.1" customHeight="1" spans="1:11">
      <c r="A28" s="34">
        <v>46169</v>
      </c>
      <c r="B28" s="35" t="s">
        <v>37</v>
      </c>
      <c r="C28" s="35">
        <f>_xlfn.XLOOKUP(B28,'Prod FG'!B:B,'Prod FG'!C:C,"-")</f>
        <v>0.75</v>
      </c>
      <c r="D28" s="35" t="s">
        <v>10</v>
      </c>
      <c r="E28" s="36">
        <v>0</v>
      </c>
      <c r="F28" s="37">
        <f t="shared" si="0"/>
        <v>0</v>
      </c>
      <c r="J28" s="39"/>
      <c r="K28" s="39"/>
    </row>
    <row r="29" s="7" customFormat="1" ht="20.1" customHeight="1" spans="1:11">
      <c r="A29" s="34">
        <v>46169</v>
      </c>
      <c r="B29" s="35" t="s">
        <v>38</v>
      </c>
      <c r="C29" s="35">
        <f>_xlfn.XLOOKUP(B29,'Prod FG'!B:B,'Prod FG'!C:C,"-")</f>
        <v>1.97</v>
      </c>
      <c r="D29" s="35" t="s">
        <v>10</v>
      </c>
      <c r="E29" s="36">
        <v>0</v>
      </c>
      <c r="F29" s="37">
        <f t="shared" si="0"/>
        <v>0</v>
      </c>
      <c r="J29" s="39"/>
      <c r="K29" s="39"/>
    </row>
    <row r="30" s="7" customFormat="1" ht="20.1" customHeight="1" spans="1:11">
      <c r="A30" s="34">
        <v>46169</v>
      </c>
      <c r="B30" s="35" t="s">
        <v>39</v>
      </c>
      <c r="C30" s="35">
        <f>_xlfn.XLOOKUP(B30,'Prod FG'!B:B,'Prod FG'!C:C,"-")</f>
        <v>1.8</v>
      </c>
      <c r="D30" s="35" t="s">
        <v>10</v>
      </c>
      <c r="E30" s="36">
        <v>0</v>
      </c>
      <c r="F30" s="37">
        <f t="shared" si="0"/>
        <v>0</v>
      </c>
      <c r="J30" s="39"/>
      <c r="K30" s="39"/>
    </row>
    <row r="31" s="7" customFormat="1" ht="20.1" customHeight="1" spans="1:11">
      <c r="A31" s="34">
        <v>46169</v>
      </c>
      <c r="B31" s="35" t="s">
        <v>40</v>
      </c>
      <c r="C31" s="35">
        <f>_xlfn.XLOOKUP(B31,'Prod FG'!B:B,'Prod FG'!C:C,"-")</f>
        <v>1.605</v>
      </c>
      <c r="D31" s="35" t="s">
        <v>12</v>
      </c>
      <c r="E31" s="36">
        <v>40</v>
      </c>
      <c r="F31" s="37">
        <f t="shared" si="0"/>
        <v>64.2</v>
      </c>
      <c r="J31" s="39"/>
      <c r="K31" s="39"/>
    </row>
    <row r="32" s="7" customFormat="1" ht="20.1" customHeight="1" spans="1:11">
      <c r="A32" s="34">
        <v>46169</v>
      </c>
      <c r="B32" s="35" t="s">
        <v>41</v>
      </c>
      <c r="C32" s="35">
        <f>_xlfn.XLOOKUP(B32,'Prod FG'!B:B,'Prod FG'!C:C,"-")</f>
        <v>1.74</v>
      </c>
      <c r="D32" s="35" t="s">
        <v>12</v>
      </c>
      <c r="E32" s="36">
        <v>400</v>
      </c>
      <c r="F32" s="37">
        <f t="shared" si="0"/>
        <v>696</v>
      </c>
      <c r="J32" s="39"/>
      <c r="K32" s="39"/>
    </row>
    <row r="33" s="7" customFormat="1" ht="20.1" customHeight="1" spans="1:11">
      <c r="A33" s="34">
        <v>46169</v>
      </c>
      <c r="B33" s="35" t="s">
        <v>42</v>
      </c>
      <c r="C33" s="35">
        <f>_xlfn.XLOOKUP(B33,'Prod FG'!B:B,'Prod FG'!C:C,"-")</f>
        <v>2.665</v>
      </c>
      <c r="D33" s="35" t="s">
        <v>10</v>
      </c>
      <c r="E33" s="36">
        <v>0</v>
      </c>
      <c r="F33" s="37">
        <f t="shared" si="0"/>
        <v>0</v>
      </c>
      <c r="J33" s="39"/>
      <c r="K33" s="39"/>
    </row>
    <row r="34" s="7" customFormat="1" ht="20.1" customHeight="1" spans="1:11">
      <c r="A34" s="34">
        <v>46169</v>
      </c>
      <c r="B34" s="35" t="s">
        <v>43</v>
      </c>
      <c r="C34" s="35">
        <f>_xlfn.XLOOKUP(B34,'Prod FG'!B:B,'Prod FG'!C:C,"-")</f>
        <v>3.9834</v>
      </c>
      <c r="D34" s="35" t="s">
        <v>10</v>
      </c>
      <c r="E34" s="36">
        <v>514</v>
      </c>
      <c r="F34" s="37">
        <f t="shared" si="0"/>
        <v>2047.4676</v>
      </c>
      <c r="J34" s="39"/>
      <c r="K34" s="39"/>
    </row>
    <row r="35" s="7" customFormat="1" ht="20.1" customHeight="1" spans="1:11">
      <c r="A35" s="34">
        <v>46169</v>
      </c>
      <c r="B35" s="35" t="s">
        <v>44</v>
      </c>
      <c r="C35" s="35">
        <f>_xlfn.XLOOKUP(B35,'Prod FG'!B:B,'Prod FG'!C:C,"-")</f>
        <v>4.8965</v>
      </c>
      <c r="D35" s="35" t="s">
        <v>10</v>
      </c>
      <c r="E35" s="36">
        <v>0</v>
      </c>
      <c r="F35" s="37">
        <f t="shared" si="0"/>
        <v>0</v>
      </c>
      <c r="J35" s="39"/>
      <c r="K35" s="39"/>
    </row>
    <row r="36" s="7" customFormat="1" ht="20.1" customHeight="1" spans="1:11">
      <c r="A36" s="34">
        <v>46169</v>
      </c>
      <c r="B36" s="35" t="s">
        <v>45</v>
      </c>
      <c r="C36" s="35">
        <f>_xlfn.XLOOKUP(B36,'Prod FG'!B:B,'Prod FG'!C:C,"-")</f>
        <v>0.898</v>
      </c>
      <c r="D36" s="35" t="s">
        <v>10</v>
      </c>
      <c r="E36" s="36">
        <v>0</v>
      </c>
      <c r="F36" s="37">
        <f t="shared" si="0"/>
        <v>0</v>
      </c>
      <c r="J36" s="39"/>
      <c r="K36" s="39"/>
    </row>
    <row r="37" s="7" customFormat="1" ht="20.1" customHeight="1" spans="1:11">
      <c r="A37" s="34">
        <v>46169</v>
      </c>
      <c r="B37" s="35" t="s">
        <v>46</v>
      </c>
      <c r="C37" s="35">
        <f>_xlfn.XLOOKUP(B37,'Prod FG'!B:B,'Prod FG'!C:C,"-")</f>
        <v>2.3079</v>
      </c>
      <c r="D37" s="35" t="s">
        <v>10</v>
      </c>
      <c r="E37" s="36">
        <v>0</v>
      </c>
      <c r="F37" s="37">
        <f t="shared" si="0"/>
        <v>0</v>
      </c>
      <c r="J37" s="39"/>
      <c r="K37" s="39"/>
    </row>
    <row r="38" s="7" customFormat="1" ht="20.1" customHeight="1" spans="1:11">
      <c r="A38" s="34">
        <v>46169</v>
      </c>
      <c r="B38" s="35" t="s">
        <v>47</v>
      </c>
      <c r="C38" s="35">
        <f>_xlfn.XLOOKUP(B38,'Prod FG'!B:B,'Prod FG'!C:C,"-")</f>
        <v>2.359</v>
      </c>
      <c r="D38" s="35" t="s">
        <v>10</v>
      </c>
      <c r="E38" s="36">
        <v>24</v>
      </c>
      <c r="F38" s="37">
        <f t="shared" si="0"/>
        <v>56.616</v>
      </c>
      <c r="J38" s="39"/>
      <c r="K38" s="39"/>
    </row>
    <row r="39" s="7" customFormat="1" ht="20.1" customHeight="1" spans="1:11">
      <c r="A39" s="34">
        <v>46169</v>
      </c>
      <c r="B39" s="35" t="s">
        <v>48</v>
      </c>
      <c r="C39" s="35">
        <f>_xlfn.XLOOKUP(B39,'Prod FG'!B:B,'Prod FG'!C:C,"-")</f>
        <v>5.707</v>
      </c>
      <c r="D39" s="35" t="s">
        <v>12</v>
      </c>
      <c r="E39" s="36">
        <v>202</v>
      </c>
      <c r="F39" s="37">
        <f t="shared" si="0"/>
        <v>1152.814</v>
      </c>
      <c r="J39" s="39"/>
      <c r="K39" s="39"/>
    </row>
    <row r="40" s="7" customFormat="1" ht="20.1" customHeight="1" spans="1:11">
      <c r="A40" s="34">
        <v>46169</v>
      </c>
      <c r="B40" s="35" t="s">
        <v>49</v>
      </c>
      <c r="C40" s="35">
        <f>_xlfn.XLOOKUP(B40,'Prod FG'!B:B,'Prod FG'!C:C,"-")</f>
        <v>4.5244</v>
      </c>
      <c r="D40" s="35" t="s">
        <v>12</v>
      </c>
      <c r="E40" s="36">
        <v>0</v>
      </c>
      <c r="F40" s="37">
        <f t="shared" si="0"/>
        <v>0</v>
      </c>
      <c r="J40" s="39"/>
      <c r="K40" s="39"/>
    </row>
    <row r="41" s="7" customFormat="1" ht="20.1" customHeight="1" spans="1:11">
      <c r="A41" s="34">
        <v>46169</v>
      </c>
      <c r="B41" s="35" t="s">
        <v>50</v>
      </c>
      <c r="C41" s="35">
        <f>_xlfn.XLOOKUP(B41,'Prod FG'!B:B,'Prod FG'!C:C,"-")</f>
        <v>3.865</v>
      </c>
      <c r="D41" s="35" t="s">
        <v>12</v>
      </c>
      <c r="E41" s="36">
        <v>0</v>
      </c>
      <c r="F41" s="37">
        <f t="shared" si="0"/>
        <v>0</v>
      </c>
      <c r="J41" s="39"/>
      <c r="K41" s="39"/>
    </row>
    <row r="42" s="7" customFormat="1" ht="20.1" customHeight="1" spans="1:11">
      <c r="A42" s="34">
        <v>46169</v>
      </c>
      <c r="B42" s="35" t="s">
        <v>51</v>
      </c>
      <c r="C42" s="35">
        <f>_xlfn.XLOOKUP(B42,'Prod FG'!B:B,'Prod FG'!C:C,"-")</f>
        <v>3.1</v>
      </c>
      <c r="D42" s="35" t="s">
        <v>12</v>
      </c>
      <c r="E42" s="36">
        <v>0</v>
      </c>
      <c r="F42" s="37">
        <f t="shared" si="0"/>
        <v>0</v>
      </c>
      <c r="J42" s="39"/>
      <c r="K42" s="39"/>
    </row>
    <row r="43" s="7" customFormat="1" ht="20.1" customHeight="1" spans="1:11">
      <c r="A43" s="34">
        <v>46169</v>
      </c>
      <c r="B43" s="35" t="s">
        <v>52</v>
      </c>
      <c r="C43" s="35">
        <f>_xlfn.XLOOKUP(B43,'Prod FG'!B:B,'Prod FG'!C:C,"-")</f>
        <v>2.368</v>
      </c>
      <c r="D43" s="35" t="s">
        <v>12</v>
      </c>
      <c r="E43" s="36">
        <v>0</v>
      </c>
      <c r="F43" s="37">
        <f t="shared" si="0"/>
        <v>0</v>
      </c>
      <c r="J43" s="39"/>
      <c r="K43" s="39"/>
    </row>
    <row r="44" s="7" customFormat="1" ht="20.1" customHeight="1" spans="1:11">
      <c r="A44" s="34">
        <v>46169</v>
      </c>
      <c r="B44" s="35" t="s">
        <v>53</v>
      </c>
      <c r="C44" s="35">
        <f>_xlfn.XLOOKUP(B44,'Prod FG'!B:B,'Prod FG'!C:C,"-")</f>
        <v>1.704</v>
      </c>
      <c r="D44" s="35" t="s">
        <v>12</v>
      </c>
      <c r="E44" s="36">
        <v>0</v>
      </c>
      <c r="F44" s="37">
        <f t="shared" si="0"/>
        <v>0</v>
      </c>
      <c r="J44" s="39"/>
      <c r="K44" s="39"/>
    </row>
    <row r="45" s="7" customFormat="1" ht="20.1" customHeight="1" spans="1:11">
      <c r="A45" s="34">
        <v>46169</v>
      </c>
      <c r="B45" s="35" t="s">
        <v>54</v>
      </c>
      <c r="C45" s="35">
        <f>_xlfn.XLOOKUP(B45,'Prod FG'!B:B,'Prod FG'!C:C,"-")</f>
        <v>1.28</v>
      </c>
      <c r="D45" s="35" t="s">
        <v>12</v>
      </c>
      <c r="E45" s="36">
        <v>0</v>
      </c>
      <c r="F45" s="37">
        <f t="shared" si="0"/>
        <v>0</v>
      </c>
      <c r="J45" s="39"/>
      <c r="K45" s="39"/>
    </row>
    <row r="46" s="7" customFormat="1" ht="20.1" customHeight="1" spans="1:11">
      <c r="A46" s="34">
        <v>46169</v>
      </c>
      <c r="B46" s="35" t="s">
        <v>55</v>
      </c>
      <c r="C46" s="35">
        <f>_xlfn.XLOOKUP(B46,'Prod FG'!B:B,'Prod FG'!C:C,"-")</f>
        <v>0.93</v>
      </c>
      <c r="D46" s="35" t="s">
        <v>12</v>
      </c>
      <c r="E46" s="36">
        <v>1000</v>
      </c>
      <c r="F46" s="37">
        <f t="shared" si="0"/>
        <v>930</v>
      </c>
      <c r="J46" s="39"/>
      <c r="K46" s="39"/>
    </row>
    <row r="47" s="7" customFormat="1" ht="20.1" customHeight="1" spans="1:11">
      <c r="A47" s="34">
        <v>46169</v>
      </c>
      <c r="B47" s="35" t="s">
        <v>56</v>
      </c>
      <c r="C47" s="35">
        <f>_xlfn.XLOOKUP(B47,'Prod FG'!B:B,'Prod FG'!C:C,"-")</f>
        <v>0.305</v>
      </c>
      <c r="D47" s="35" t="s">
        <v>12</v>
      </c>
      <c r="E47" s="36">
        <v>0</v>
      </c>
      <c r="F47" s="37">
        <f t="shared" si="0"/>
        <v>0</v>
      </c>
      <c r="J47" s="39"/>
      <c r="K47" s="39"/>
    </row>
    <row r="48" s="7" customFormat="1" ht="20.1" customHeight="1" spans="1:11">
      <c r="A48" s="34">
        <v>46169</v>
      </c>
      <c r="B48" s="35" t="s">
        <v>57</v>
      </c>
      <c r="C48" s="35">
        <f>_xlfn.XLOOKUP(B48,'Prod FG'!B:B,'Prod FG'!C:C,"-")</f>
        <v>0.173</v>
      </c>
      <c r="D48" s="35" t="s">
        <v>12</v>
      </c>
      <c r="E48" s="36">
        <v>144</v>
      </c>
      <c r="F48" s="37">
        <f t="shared" si="0"/>
        <v>24.912</v>
      </c>
      <c r="J48" s="39"/>
      <c r="K48" s="39"/>
    </row>
    <row r="49" s="7" customFormat="1" ht="20.1" customHeight="1" spans="1:11">
      <c r="A49" s="34">
        <v>46169</v>
      </c>
      <c r="B49" s="35" t="s">
        <v>58</v>
      </c>
      <c r="C49" s="35">
        <f>_xlfn.XLOOKUP(B49,'Prod FG'!B:B,'Prod FG'!C:C,"-")</f>
        <v>2.4</v>
      </c>
      <c r="D49" s="35" t="s">
        <v>12</v>
      </c>
      <c r="E49" s="36">
        <v>261</v>
      </c>
      <c r="F49" s="37">
        <f t="shared" si="0"/>
        <v>626.4</v>
      </c>
      <c r="J49" s="39"/>
      <c r="K49" s="39"/>
    </row>
    <row r="50" s="7" customFormat="1" ht="20.1" customHeight="1" spans="1:11">
      <c r="A50" s="34">
        <v>46169</v>
      </c>
      <c r="B50" s="35" t="s">
        <v>59</v>
      </c>
      <c r="C50" s="35">
        <f>_xlfn.XLOOKUP(B50,'Prod FG'!B:B,'Prod FG'!C:C,"-")</f>
        <v>0.383</v>
      </c>
      <c r="D50" s="35" t="s">
        <v>12</v>
      </c>
      <c r="E50" s="36">
        <v>0</v>
      </c>
      <c r="F50" s="37">
        <f t="shared" si="0"/>
        <v>0</v>
      </c>
      <c r="J50" s="39"/>
      <c r="K50" s="39"/>
    </row>
    <row r="51" s="7" customFormat="1" ht="20.1" customHeight="1" spans="1:11">
      <c r="A51" s="34">
        <v>46169</v>
      </c>
      <c r="B51" s="35" t="s">
        <v>60</v>
      </c>
      <c r="C51" s="35">
        <f>_xlfn.XLOOKUP(B51,'Prod FG'!B:B,'Prod FG'!C:C,"-")</f>
        <v>3.55</v>
      </c>
      <c r="D51" s="35" t="s">
        <v>12</v>
      </c>
      <c r="E51" s="36">
        <v>50</v>
      </c>
      <c r="F51" s="37">
        <f t="shared" si="0"/>
        <v>177.5</v>
      </c>
      <c r="J51" s="39"/>
      <c r="K51" s="39"/>
    </row>
    <row r="52" s="7" customFormat="1" ht="20.1" customHeight="1" spans="1:11">
      <c r="A52" s="34">
        <v>46169</v>
      </c>
      <c r="B52" s="35" t="s">
        <v>61</v>
      </c>
      <c r="C52" s="35">
        <f>_xlfn.XLOOKUP(B52,'Prod FG'!B:B,'Prod FG'!C:C,"-")</f>
        <v>0.735</v>
      </c>
      <c r="D52" s="35" t="s">
        <v>12</v>
      </c>
      <c r="E52" s="36">
        <v>0</v>
      </c>
      <c r="F52" s="37">
        <f t="shared" si="0"/>
        <v>0</v>
      </c>
      <c r="J52" s="39"/>
      <c r="K52" s="39"/>
    </row>
    <row r="53" s="7" customFormat="1" ht="20.1" customHeight="1" spans="1:11">
      <c r="A53" s="34">
        <v>46169</v>
      </c>
      <c r="B53" s="35" t="s">
        <v>62</v>
      </c>
      <c r="C53" s="35">
        <f>_xlfn.XLOOKUP(B53,'Prod FG'!B:B,'Prod FG'!C:C,"-")</f>
        <v>0.0385</v>
      </c>
      <c r="D53" s="35" t="s">
        <v>10</v>
      </c>
      <c r="E53" s="36">
        <v>1200</v>
      </c>
      <c r="F53" s="37">
        <f t="shared" si="0"/>
        <v>46.2</v>
      </c>
      <c r="J53" s="39"/>
      <c r="K53" s="39"/>
    </row>
    <row r="54" s="7" customFormat="1" ht="20.1" customHeight="1" spans="1:11">
      <c r="A54" s="34">
        <v>46169</v>
      </c>
      <c r="B54" s="35" t="s">
        <v>63</v>
      </c>
      <c r="C54" s="35">
        <f>_xlfn.XLOOKUP(B54,'Prod FG'!B:B,'Prod FG'!C:C,"-")</f>
        <v>0.672</v>
      </c>
      <c r="D54" s="35" t="s">
        <v>10</v>
      </c>
      <c r="E54" s="36">
        <v>120</v>
      </c>
      <c r="F54" s="37">
        <f t="shared" si="0"/>
        <v>80.64</v>
      </c>
      <c r="J54" s="39"/>
      <c r="K54" s="39"/>
    </row>
    <row r="55" s="7" customFormat="1" ht="20.1" customHeight="1" spans="1:11">
      <c r="A55" s="34">
        <v>46169</v>
      </c>
      <c r="B55" s="35" t="s">
        <v>64</v>
      </c>
      <c r="C55" s="35">
        <f>_xlfn.XLOOKUP(B55,'Prod FG'!B:B,'Prod FG'!C:C,"-")</f>
        <v>0.002</v>
      </c>
      <c r="D55" s="35" t="s">
        <v>10</v>
      </c>
      <c r="E55" s="36">
        <v>0</v>
      </c>
      <c r="F55" s="37">
        <f t="shared" si="0"/>
        <v>0</v>
      </c>
      <c r="J55" s="39"/>
      <c r="K55" s="39"/>
    </row>
    <row r="56" s="7" customFormat="1" ht="20.1" customHeight="1" spans="1:11">
      <c r="A56" s="34">
        <v>46169</v>
      </c>
      <c r="B56" s="35" t="s">
        <v>65</v>
      </c>
      <c r="C56" s="35">
        <f>_xlfn.XLOOKUP(B56,'Prod FG'!B:B,'Prod FG'!C:C,"-")</f>
        <v>0.05</v>
      </c>
      <c r="D56" s="35" t="s">
        <v>12</v>
      </c>
      <c r="E56" s="36">
        <v>0</v>
      </c>
      <c r="F56" s="37">
        <f t="shared" si="0"/>
        <v>0</v>
      </c>
      <c r="J56" s="39"/>
      <c r="K56" s="39"/>
    </row>
    <row r="57" s="7" customFormat="1" ht="20.1" customHeight="1" spans="1:11">
      <c r="A57" s="34">
        <v>46169</v>
      </c>
      <c r="B57" s="35" t="s">
        <v>66</v>
      </c>
      <c r="C57" s="35">
        <f>_xlfn.XLOOKUP(B57,'Prod FG'!B:B,'Prod FG'!C:C,"-")</f>
        <v>0.031</v>
      </c>
      <c r="D57" s="35" t="s">
        <v>10</v>
      </c>
      <c r="E57" s="36">
        <v>120</v>
      </c>
      <c r="F57" s="37">
        <f t="shared" si="0"/>
        <v>3.72</v>
      </c>
      <c r="J57" s="39"/>
      <c r="K57" s="39"/>
    </row>
    <row r="58" s="7" customFormat="1" ht="20.1" customHeight="1" spans="1:11">
      <c r="A58" s="34">
        <v>46169</v>
      </c>
      <c r="B58" s="35" t="s">
        <v>67</v>
      </c>
      <c r="C58" s="35">
        <f>_xlfn.XLOOKUP(B58,'Prod FG'!B:B,'Prod FG'!C:C,"-")</f>
        <v>0.1888</v>
      </c>
      <c r="D58" s="35" t="s">
        <v>12</v>
      </c>
      <c r="E58" s="36">
        <v>0</v>
      </c>
      <c r="F58" s="37">
        <f t="shared" si="0"/>
        <v>0</v>
      </c>
      <c r="J58" s="39"/>
      <c r="K58" s="39"/>
    </row>
    <row r="59" s="7" customFormat="1" ht="20.1" customHeight="1" spans="1:11">
      <c r="A59" s="34">
        <v>46169</v>
      </c>
      <c r="B59" s="35" t="s">
        <v>68</v>
      </c>
      <c r="C59" s="35">
        <f>_xlfn.XLOOKUP(B59,'Prod FG'!B:B,'Prod FG'!C:C,"-")</f>
        <v>0.05</v>
      </c>
      <c r="D59" s="35" t="s">
        <v>12</v>
      </c>
      <c r="E59" s="36">
        <v>360</v>
      </c>
      <c r="F59" s="37">
        <f t="shared" si="0"/>
        <v>18</v>
      </c>
      <c r="J59" s="39"/>
      <c r="K59" s="39"/>
    </row>
    <row r="60" s="7" customFormat="1" ht="20.1" customHeight="1" spans="1:11">
      <c r="A60" s="34">
        <v>46169</v>
      </c>
      <c r="B60" s="35" t="s">
        <v>69</v>
      </c>
      <c r="C60" s="35">
        <f>_xlfn.XLOOKUP(B60,'Prod FG'!B:B,'Prod FG'!C:C,"-")</f>
        <v>0.057</v>
      </c>
      <c r="D60" s="35" t="s">
        <v>10</v>
      </c>
      <c r="E60" s="36">
        <v>36</v>
      </c>
      <c r="F60" s="37">
        <f t="shared" si="0"/>
        <v>2.052</v>
      </c>
      <c r="J60" s="39"/>
      <c r="K60" s="39"/>
    </row>
    <row r="61" s="7" customFormat="1" ht="20.1" customHeight="1" spans="1:11">
      <c r="A61" s="34">
        <v>46169</v>
      </c>
      <c r="B61" s="35" t="s">
        <v>70</v>
      </c>
      <c r="C61" s="35">
        <f>_xlfn.XLOOKUP(B61,'Prod FG'!B:B,'Prod FG'!C:C,"-")</f>
        <v>1.54</v>
      </c>
      <c r="D61" s="35" t="s">
        <v>12</v>
      </c>
      <c r="E61" s="36">
        <v>33</v>
      </c>
      <c r="F61" s="37">
        <f t="shared" si="0"/>
        <v>50.82</v>
      </c>
      <c r="J61" s="39"/>
      <c r="K61" s="39"/>
    </row>
    <row r="62" s="7" customFormat="1" ht="20.1" customHeight="1" spans="1:11">
      <c r="A62" s="34">
        <v>46169</v>
      </c>
      <c r="B62" s="35" t="s">
        <v>71</v>
      </c>
      <c r="C62" s="35">
        <f>_xlfn.XLOOKUP(B62,'Prod FG'!B:B,'Prod FG'!C:C,"-")</f>
        <v>0.047</v>
      </c>
      <c r="D62" s="35" t="s">
        <v>10</v>
      </c>
      <c r="E62" s="36">
        <v>0</v>
      </c>
      <c r="F62" s="37">
        <f t="shared" si="0"/>
        <v>0</v>
      </c>
      <c r="J62" s="39"/>
      <c r="K62" s="39"/>
    </row>
    <row r="63" s="7" customFormat="1" ht="20.1" customHeight="1" spans="1:11">
      <c r="A63" s="34">
        <v>46169</v>
      </c>
      <c r="B63" s="35" t="s">
        <v>72</v>
      </c>
      <c r="C63" s="35">
        <f>_xlfn.XLOOKUP(B63,'Prod FG'!B:B,'Prod FG'!C:C,"-")</f>
        <v>0.043</v>
      </c>
      <c r="D63" s="35" t="s">
        <v>12</v>
      </c>
      <c r="E63" s="36">
        <v>240</v>
      </c>
      <c r="F63" s="37">
        <f t="shared" si="0"/>
        <v>10.32</v>
      </c>
      <c r="J63" s="39"/>
      <c r="K63" s="39"/>
    </row>
    <row r="64" s="7" customFormat="1" ht="20.1" customHeight="1" spans="1:11">
      <c r="A64" s="34">
        <v>46169</v>
      </c>
      <c r="B64" s="35" t="s">
        <v>73</v>
      </c>
      <c r="C64" s="35">
        <f>_xlfn.XLOOKUP(B64,'Prod FG'!B:B,'Prod FG'!C:C,"-")</f>
        <v>0.136</v>
      </c>
      <c r="D64" s="35" t="s">
        <v>10</v>
      </c>
      <c r="E64" s="36">
        <v>0</v>
      </c>
      <c r="F64" s="37">
        <f t="shared" si="0"/>
        <v>0</v>
      </c>
      <c r="J64" s="39"/>
      <c r="K64" s="39"/>
    </row>
    <row r="65" s="7" customFormat="1" ht="20.1" customHeight="1" spans="1:11">
      <c r="A65" s="34">
        <v>46169</v>
      </c>
      <c r="B65" s="35" t="s">
        <v>74</v>
      </c>
      <c r="C65" s="35">
        <f>_xlfn.XLOOKUP(B65,'Prod FG'!B:B,'Prod FG'!C:C,"-")</f>
        <v>0.224</v>
      </c>
      <c r="D65" s="35" t="s">
        <v>10</v>
      </c>
      <c r="E65" s="36">
        <v>72</v>
      </c>
      <c r="F65" s="37">
        <f t="shared" si="0"/>
        <v>16.128</v>
      </c>
      <c r="J65" s="39"/>
      <c r="K65" s="39"/>
    </row>
    <row r="66" s="7" customFormat="1" ht="20.1" customHeight="1" spans="1:11">
      <c r="A66" s="34">
        <v>46169</v>
      </c>
      <c r="B66" s="35" t="s">
        <v>75</v>
      </c>
      <c r="C66" s="35">
        <f>_xlfn.XLOOKUP(B66,'Prod FG'!B:B,'Prod FG'!C:C,"-")</f>
        <v>0.224</v>
      </c>
      <c r="D66" s="35" t="s">
        <v>10</v>
      </c>
      <c r="E66" s="36">
        <v>12</v>
      </c>
      <c r="F66" s="37">
        <f t="shared" si="0"/>
        <v>2.688</v>
      </c>
      <c r="J66" s="39"/>
      <c r="K66" s="39"/>
    </row>
    <row r="67" s="7" customFormat="1" ht="20.1" customHeight="1" spans="1:11">
      <c r="A67" s="34">
        <v>46169</v>
      </c>
      <c r="B67" s="35" t="s">
        <v>76</v>
      </c>
      <c r="C67" s="35">
        <f>_xlfn.XLOOKUP(B67,'Prod FG'!B:B,'Prod FG'!C:C,"-")</f>
        <v>0.246</v>
      </c>
      <c r="D67" s="35" t="s">
        <v>10</v>
      </c>
      <c r="E67" s="36">
        <v>0</v>
      </c>
      <c r="F67" s="37">
        <f t="shared" si="0"/>
        <v>0</v>
      </c>
      <c r="J67" s="39"/>
      <c r="K67" s="39"/>
    </row>
    <row r="68" s="7" customFormat="1" ht="20.1" customHeight="1" spans="1:11">
      <c r="A68" s="34">
        <v>46169</v>
      </c>
      <c r="B68" s="35" t="s">
        <v>77</v>
      </c>
      <c r="C68" s="35">
        <f>_xlfn.XLOOKUP(B68,'Prod FG'!B:B,'Prod FG'!C:C,"-")</f>
        <v>0.088</v>
      </c>
      <c r="D68" s="35" t="s">
        <v>10</v>
      </c>
      <c r="E68" s="36">
        <v>156</v>
      </c>
      <c r="F68" s="37">
        <f t="shared" ref="F68:F129" si="1">IFERROR(E68*C68,"-")</f>
        <v>13.728</v>
      </c>
      <c r="J68" s="39"/>
      <c r="K68" s="39"/>
    </row>
    <row r="69" s="7" customFormat="1" ht="20.1" customHeight="1" spans="1:11">
      <c r="A69" s="34">
        <v>46169</v>
      </c>
      <c r="B69" s="35" t="s">
        <v>78</v>
      </c>
      <c r="C69" s="35">
        <f>_xlfn.XLOOKUP(B69,'Prod FG'!B:B,'Prod FG'!C:C,"-")</f>
        <v>0.0222</v>
      </c>
      <c r="D69" s="35" t="s">
        <v>10</v>
      </c>
      <c r="E69" s="36">
        <v>0</v>
      </c>
      <c r="F69" s="37">
        <f t="shared" si="1"/>
        <v>0</v>
      </c>
      <c r="J69" s="39"/>
      <c r="K69" s="39"/>
    </row>
    <row r="70" s="7" customFormat="1" ht="20.1" customHeight="1" spans="1:11">
      <c r="A70" s="34">
        <v>46169</v>
      </c>
      <c r="B70" s="35" t="s">
        <v>79</v>
      </c>
      <c r="C70" s="35">
        <f>_xlfn.XLOOKUP(B70,'Prod FG'!B:B,'Prod FG'!C:C,"-")</f>
        <v>1.282</v>
      </c>
      <c r="D70" s="35" t="s">
        <v>10</v>
      </c>
      <c r="E70" s="36">
        <v>0</v>
      </c>
      <c r="F70" s="37">
        <f t="shared" si="1"/>
        <v>0</v>
      </c>
      <c r="J70" s="39"/>
      <c r="K70" s="39"/>
    </row>
    <row r="71" s="7" customFormat="1" ht="20.1" customHeight="1" spans="1:11">
      <c r="A71" s="34">
        <v>46169</v>
      </c>
      <c r="B71" s="35" t="s">
        <v>80</v>
      </c>
      <c r="C71" s="35">
        <f>_xlfn.XLOOKUP(B71,'Prod FG'!B:B,'Prod FG'!C:C,"-")</f>
        <v>0.032</v>
      </c>
      <c r="D71" s="35" t="s">
        <v>10</v>
      </c>
      <c r="E71" s="36">
        <v>4200</v>
      </c>
      <c r="F71" s="37">
        <f t="shared" si="1"/>
        <v>134.4</v>
      </c>
      <c r="J71" s="39"/>
      <c r="K71" s="39"/>
    </row>
    <row r="72" s="7" customFormat="1" ht="20.1" customHeight="1" spans="1:11">
      <c r="A72" s="34">
        <v>46169</v>
      </c>
      <c r="B72" s="35" t="s">
        <v>81</v>
      </c>
      <c r="C72" s="35">
        <f>_xlfn.XLOOKUP(B72,'Prod FG'!B:B,'Prod FG'!C:C,"-")</f>
        <v>0.692</v>
      </c>
      <c r="D72" s="35" t="s">
        <v>10</v>
      </c>
      <c r="E72" s="36">
        <v>0</v>
      </c>
      <c r="F72" s="37">
        <f t="shared" si="1"/>
        <v>0</v>
      </c>
      <c r="J72" s="39"/>
      <c r="K72" s="39"/>
    </row>
    <row r="73" s="7" customFormat="1" ht="20.1" customHeight="1" spans="1:11">
      <c r="A73" s="34">
        <v>46169</v>
      </c>
      <c r="B73" s="35" t="s">
        <v>82</v>
      </c>
      <c r="C73" s="35">
        <f>_xlfn.XLOOKUP(B73,'Prod FG'!B:B,'Prod FG'!C:C,"-")</f>
        <v>0.0893</v>
      </c>
      <c r="D73" s="35" t="s">
        <v>10</v>
      </c>
      <c r="E73" s="36">
        <v>0</v>
      </c>
      <c r="F73" s="37">
        <f t="shared" si="1"/>
        <v>0</v>
      </c>
      <c r="J73" s="39"/>
      <c r="K73" s="39"/>
    </row>
    <row r="74" s="7" customFormat="1" ht="20.1" customHeight="1" spans="1:11">
      <c r="A74" s="34">
        <v>46169</v>
      </c>
      <c r="B74" s="35" t="s">
        <v>83</v>
      </c>
      <c r="C74" s="35">
        <f>_xlfn.XLOOKUP(B74,'Prod FG'!B:B,'Prod FG'!C:C,"-")</f>
        <v>1.4535</v>
      </c>
      <c r="D74" s="35" t="s">
        <v>10</v>
      </c>
      <c r="E74" s="36">
        <v>0</v>
      </c>
      <c r="F74" s="37">
        <f t="shared" si="1"/>
        <v>0</v>
      </c>
      <c r="J74" s="39"/>
      <c r="K74" s="39"/>
    </row>
    <row r="75" s="7" customFormat="1" ht="20.1" customHeight="1" spans="1:11">
      <c r="A75" s="34">
        <v>46169</v>
      </c>
      <c r="B75" s="35" t="s">
        <v>84</v>
      </c>
      <c r="C75" s="35">
        <f>_xlfn.XLOOKUP(B75,'Prod FG'!B:B,'Prod FG'!C:C,"-")</f>
        <v>0.225</v>
      </c>
      <c r="D75" s="35" t="s">
        <v>10</v>
      </c>
      <c r="E75" s="36">
        <v>60</v>
      </c>
      <c r="F75" s="37">
        <f t="shared" si="1"/>
        <v>13.5</v>
      </c>
      <c r="J75" s="39"/>
      <c r="K75" s="39"/>
    </row>
    <row r="76" s="7" customFormat="1" ht="20.1" customHeight="1" spans="1:11">
      <c r="A76" s="34">
        <v>46169</v>
      </c>
      <c r="B76" s="35" t="s">
        <v>85</v>
      </c>
      <c r="C76" s="35">
        <f>_xlfn.XLOOKUP(B76,'Prod FG'!B:B,'Prod FG'!C:C,"-")</f>
        <v>0.445</v>
      </c>
      <c r="D76" s="35" t="s">
        <v>10</v>
      </c>
      <c r="E76" s="36">
        <v>0</v>
      </c>
      <c r="F76" s="37">
        <f t="shared" si="1"/>
        <v>0</v>
      </c>
      <c r="J76" s="39"/>
      <c r="K76" s="39"/>
    </row>
    <row r="77" s="7" customFormat="1" ht="20.1" customHeight="1" spans="1:11">
      <c r="A77" s="34">
        <v>46169</v>
      </c>
      <c r="B77" s="35" t="s">
        <v>86</v>
      </c>
      <c r="C77" s="35">
        <f>_xlfn.XLOOKUP(B77,'Prod FG'!B:B,'Prod FG'!C:C,"-")</f>
        <v>0.1022</v>
      </c>
      <c r="D77" s="35" t="s">
        <v>10</v>
      </c>
      <c r="E77" s="36">
        <v>0</v>
      </c>
      <c r="F77" s="37">
        <f t="shared" si="1"/>
        <v>0</v>
      </c>
      <c r="J77" s="39"/>
      <c r="K77" s="39"/>
    </row>
    <row r="78" s="7" customFormat="1" ht="20.1" customHeight="1" spans="1:11">
      <c r="A78" s="34">
        <v>46169</v>
      </c>
      <c r="B78" s="35" t="s">
        <v>87</v>
      </c>
      <c r="C78" s="35">
        <f>_xlfn.XLOOKUP(B78,'Prod FG'!B:B,'Prod FG'!C:C,"-")</f>
        <v>0.582</v>
      </c>
      <c r="D78" s="35" t="s">
        <v>12</v>
      </c>
      <c r="E78" s="36">
        <v>0</v>
      </c>
      <c r="F78" s="37">
        <f t="shared" si="1"/>
        <v>0</v>
      </c>
      <c r="J78" s="39"/>
      <c r="K78" s="39"/>
    </row>
    <row r="79" s="7" customFormat="1" ht="20.1" customHeight="1" spans="1:11">
      <c r="A79" s="34">
        <v>46169</v>
      </c>
      <c r="B79" s="35" t="s">
        <v>88</v>
      </c>
      <c r="C79" s="35">
        <f>_xlfn.XLOOKUP(B79,'Prod FG'!B:B,'Prod FG'!C:C,"-")</f>
        <v>0.378</v>
      </c>
      <c r="D79" s="35" t="s">
        <v>10</v>
      </c>
      <c r="E79" s="36">
        <v>0</v>
      </c>
      <c r="F79" s="37">
        <f t="shared" si="1"/>
        <v>0</v>
      </c>
      <c r="J79" s="39"/>
      <c r="K79" s="39"/>
    </row>
    <row r="80" s="7" customFormat="1" ht="20.1" customHeight="1" spans="1:11">
      <c r="A80" s="34">
        <v>46169</v>
      </c>
      <c r="B80" s="35" t="s">
        <v>89</v>
      </c>
      <c r="C80" s="35">
        <f>_xlfn.XLOOKUP(B80,'Prod FG'!B:B,'Prod FG'!C:C,"-")</f>
        <v>0.276</v>
      </c>
      <c r="D80" s="35" t="s">
        <v>10</v>
      </c>
      <c r="E80" s="36">
        <v>0</v>
      </c>
      <c r="F80" s="37">
        <f t="shared" si="1"/>
        <v>0</v>
      </c>
      <c r="J80" s="39"/>
      <c r="K80" s="39"/>
    </row>
    <row r="81" s="7" customFormat="1" ht="20.1" customHeight="1" spans="1:11">
      <c r="A81" s="34">
        <v>46169</v>
      </c>
      <c r="B81" s="35" t="s">
        <v>90</v>
      </c>
      <c r="C81" s="35">
        <f>_xlfn.XLOOKUP(B81,'Prod FG'!B:B,'Prod FG'!C:C,"-")</f>
        <v>0.183</v>
      </c>
      <c r="D81" s="35" t="s">
        <v>10</v>
      </c>
      <c r="E81" s="36">
        <v>0</v>
      </c>
      <c r="F81" s="37">
        <f t="shared" si="1"/>
        <v>0</v>
      </c>
      <c r="J81" s="39"/>
      <c r="K81" s="39"/>
    </row>
    <row r="82" s="7" customFormat="1" ht="20.1" customHeight="1" spans="1:11">
      <c r="A82" s="34">
        <v>46169</v>
      </c>
      <c r="B82" s="35" t="s">
        <v>91</v>
      </c>
      <c r="C82" s="35">
        <f>_xlfn.XLOOKUP(B82,'Prod FG'!B:B,'Prod FG'!C:C,"-")</f>
        <v>0.09</v>
      </c>
      <c r="D82" s="35" t="s">
        <v>10</v>
      </c>
      <c r="E82" s="36">
        <v>0</v>
      </c>
      <c r="F82" s="37">
        <f t="shared" si="1"/>
        <v>0</v>
      </c>
      <c r="J82" s="39"/>
      <c r="K82" s="39"/>
    </row>
    <row r="83" s="7" customFormat="1" ht="20.1" customHeight="1" spans="1:11">
      <c r="A83" s="34">
        <v>46169</v>
      </c>
      <c r="B83" s="35" t="s">
        <v>92</v>
      </c>
      <c r="C83" s="35">
        <f>_xlfn.XLOOKUP(B83,'Prod FG'!B:B,'Prod FG'!C:C,"-")</f>
        <v>0.378</v>
      </c>
      <c r="D83" s="35" t="s">
        <v>10</v>
      </c>
      <c r="E83" s="36">
        <v>0</v>
      </c>
      <c r="F83" s="37">
        <f t="shared" si="1"/>
        <v>0</v>
      </c>
      <c r="J83" s="39"/>
      <c r="K83" s="39"/>
    </row>
    <row r="84" s="7" customFormat="1" ht="20.1" customHeight="1" spans="1:11">
      <c r="A84" s="34">
        <v>46169</v>
      </c>
      <c r="B84" s="35" t="s">
        <v>93</v>
      </c>
      <c r="C84" s="35">
        <f>_xlfn.XLOOKUP(B84,'Prod FG'!B:B,'Prod FG'!C:C,"-")</f>
        <v>0.278</v>
      </c>
      <c r="D84" s="35" t="s">
        <v>10</v>
      </c>
      <c r="E84" s="36">
        <v>0</v>
      </c>
      <c r="F84" s="37">
        <f t="shared" si="1"/>
        <v>0</v>
      </c>
      <c r="J84" s="39"/>
      <c r="K84" s="39"/>
    </row>
    <row r="85" s="7" customFormat="1" ht="20.1" customHeight="1" spans="1:11">
      <c r="A85" s="34">
        <v>46169</v>
      </c>
      <c r="B85" s="35" t="s">
        <v>94</v>
      </c>
      <c r="C85" s="35">
        <f>_xlfn.XLOOKUP(B85,'Prod FG'!B:B,'Prod FG'!C:C,"-")</f>
        <v>0.183</v>
      </c>
      <c r="D85" s="35" t="s">
        <v>10</v>
      </c>
      <c r="E85" s="36">
        <v>0</v>
      </c>
      <c r="F85" s="37">
        <f t="shared" si="1"/>
        <v>0</v>
      </c>
      <c r="J85" s="39"/>
      <c r="K85" s="39"/>
    </row>
    <row r="86" s="7" customFormat="1" ht="20.1" customHeight="1" spans="1:11">
      <c r="A86" s="34">
        <v>46169</v>
      </c>
      <c r="B86" s="35" t="s">
        <v>95</v>
      </c>
      <c r="C86" s="35">
        <f>_xlfn.XLOOKUP(B86,'Prod FG'!B:B,'Prod FG'!C:C,"-")</f>
        <v>0.09</v>
      </c>
      <c r="D86" s="35" t="s">
        <v>10</v>
      </c>
      <c r="E86" s="36">
        <v>0</v>
      </c>
      <c r="F86" s="37">
        <f t="shared" si="1"/>
        <v>0</v>
      </c>
      <c r="J86" s="39"/>
      <c r="K86" s="39"/>
    </row>
    <row r="87" s="7" customFormat="1" ht="20.1" customHeight="1" spans="1:11">
      <c r="A87" s="34">
        <v>46169</v>
      </c>
      <c r="B87" s="35" t="s">
        <v>96</v>
      </c>
      <c r="C87" s="35">
        <f>_xlfn.XLOOKUP(B87,'Prod FG'!B:B,'Prod FG'!C:C,"-")</f>
        <v>0.365</v>
      </c>
      <c r="D87" s="35" t="s">
        <v>12</v>
      </c>
      <c r="E87" s="36">
        <v>0</v>
      </c>
      <c r="F87" s="37">
        <f t="shared" si="1"/>
        <v>0</v>
      </c>
      <c r="J87" s="39"/>
      <c r="K87" s="39"/>
    </row>
    <row r="88" s="7" customFormat="1" ht="20.1" customHeight="1" spans="1:11">
      <c r="A88" s="34">
        <v>46169</v>
      </c>
      <c r="B88" s="35" t="s">
        <v>97</v>
      </c>
      <c r="C88" s="35">
        <f>_xlfn.XLOOKUP(B88,'Prod FG'!B:B,'Prod FG'!C:C,"-")</f>
        <v>0.322</v>
      </c>
      <c r="D88" s="35" t="s">
        <v>12</v>
      </c>
      <c r="E88" s="36">
        <v>0</v>
      </c>
      <c r="F88" s="37">
        <f t="shared" si="1"/>
        <v>0</v>
      </c>
      <c r="J88" s="39"/>
      <c r="K88" s="39"/>
    </row>
    <row r="89" s="7" customFormat="1" ht="20.1" customHeight="1" spans="1:11">
      <c r="A89" s="34">
        <v>46169</v>
      </c>
      <c r="B89" s="35" t="s">
        <v>98</v>
      </c>
      <c r="C89" s="35">
        <f>_xlfn.XLOOKUP(B89,'Prod FG'!B:B,'Prod FG'!C:C,"-")</f>
        <v>0.265</v>
      </c>
      <c r="D89" s="35" t="s">
        <v>12</v>
      </c>
      <c r="E89" s="36">
        <v>0</v>
      </c>
      <c r="F89" s="37">
        <f t="shared" si="1"/>
        <v>0</v>
      </c>
      <c r="J89" s="39"/>
      <c r="K89" s="39"/>
    </row>
    <row r="90" s="7" customFormat="1" ht="20.1" customHeight="1" spans="1:11">
      <c r="A90" s="34">
        <v>46169</v>
      </c>
      <c r="B90" s="35" t="s">
        <v>99</v>
      </c>
      <c r="C90" s="35">
        <f>_xlfn.XLOOKUP(B90,'Prod FG'!B:B,'Prod FG'!C:C,"-")</f>
        <v>0.1975</v>
      </c>
      <c r="D90" s="35" t="s">
        <v>12</v>
      </c>
      <c r="E90" s="36">
        <v>0</v>
      </c>
      <c r="F90" s="37">
        <f t="shared" si="1"/>
        <v>0</v>
      </c>
      <c r="J90" s="39"/>
      <c r="K90" s="39"/>
    </row>
    <row r="91" s="7" customFormat="1" ht="20.1" customHeight="1" spans="1:11">
      <c r="A91" s="34">
        <v>46169</v>
      </c>
      <c r="B91" s="35" t="s">
        <v>100</v>
      </c>
      <c r="C91" s="35">
        <f>_xlfn.XLOOKUP(B91,'Prod FG'!B:B,'Prod FG'!C:C,"-")</f>
        <v>0.1</v>
      </c>
      <c r="D91" s="35" t="s">
        <v>16</v>
      </c>
      <c r="E91" s="36">
        <v>28120</v>
      </c>
      <c r="F91" s="37">
        <f t="shared" si="1"/>
        <v>2812</v>
      </c>
      <c r="J91" s="39"/>
      <c r="K91" s="39"/>
    </row>
    <row r="92" s="7" customFormat="1" ht="20.1" customHeight="1" spans="1:11">
      <c r="A92" s="34">
        <v>46169</v>
      </c>
      <c r="B92" s="35" t="s">
        <v>101</v>
      </c>
      <c r="C92" s="35">
        <f>_xlfn.XLOOKUP(B92,'Prod FG'!B:B,'Prod FG'!C:C,"-")</f>
        <v>0.0012</v>
      </c>
      <c r="D92" s="35" t="s">
        <v>16</v>
      </c>
      <c r="E92" s="36">
        <v>0</v>
      </c>
      <c r="F92" s="37">
        <f t="shared" si="1"/>
        <v>0</v>
      </c>
      <c r="J92" s="39"/>
      <c r="K92" s="39"/>
    </row>
    <row r="93" s="7" customFormat="1" ht="20.1" customHeight="1" spans="1:11">
      <c r="A93" s="34">
        <v>46169</v>
      </c>
      <c r="B93" s="35" t="s">
        <v>102</v>
      </c>
      <c r="C93" s="35">
        <f>_xlfn.XLOOKUP(B93,'Prod FG'!B:B,'Prod FG'!C:C,"-")</f>
        <v>0.0016</v>
      </c>
      <c r="D93" s="35" t="s">
        <v>16</v>
      </c>
      <c r="E93" s="36">
        <v>0</v>
      </c>
      <c r="F93" s="37">
        <f t="shared" si="1"/>
        <v>0</v>
      </c>
      <c r="J93" s="39"/>
      <c r="K93" s="39"/>
    </row>
    <row r="94" s="7" customFormat="1" ht="20.1" customHeight="1" spans="1:11">
      <c r="A94" s="34">
        <v>46169</v>
      </c>
      <c r="B94" s="35" t="s">
        <v>103</v>
      </c>
      <c r="C94" s="35">
        <f>_xlfn.XLOOKUP(B94,'Prod FG'!B:B,'Prod FG'!C:C,"-")</f>
        <v>0.0089</v>
      </c>
      <c r="D94" s="35" t="s">
        <v>16</v>
      </c>
      <c r="E94" s="36">
        <v>0</v>
      </c>
      <c r="F94" s="37">
        <f t="shared" si="1"/>
        <v>0</v>
      </c>
      <c r="J94" s="39"/>
      <c r="K94" s="39"/>
    </row>
    <row r="95" s="7" customFormat="1" ht="20.1" customHeight="1" spans="1:11">
      <c r="A95" s="34">
        <v>46169</v>
      </c>
      <c r="B95" s="35" t="s">
        <v>104</v>
      </c>
      <c r="C95" s="35">
        <f>_xlfn.XLOOKUP(B95,'Prod FG'!B:B,'Prod FG'!C:C,"-")</f>
        <v>0.0089</v>
      </c>
      <c r="D95" s="35" t="s">
        <v>16</v>
      </c>
      <c r="E95" s="36">
        <v>0</v>
      </c>
      <c r="F95" s="37">
        <f t="shared" si="1"/>
        <v>0</v>
      </c>
      <c r="J95" s="39"/>
      <c r="K95" s="39"/>
    </row>
    <row r="96" s="7" customFormat="1" ht="20.1" customHeight="1" spans="1:11">
      <c r="A96" s="34">
        <v>46169</v>
      </c>
      <c r="B96" s="35" t="s">
        <v>105</v>
      </c>
      <c r="C96" s="35">
        <f>_xlfn.XLOOKUP(B96,'Prod FG'!B:B,'Prod FG'!C:C,"-")</f>
        <v>0.031</v>
      </c>
      <c r="D96" s="35" t="s">
        <v>16</v>
      </c>
      <c r="E96" s="36">
        <v>0</v>
      </c>
      <c r="F96" s="37">
        <f t="shared" si="1"/>
        <v>0</v>
      </c>
      <c r="J96" s="39"/>
      <c r="K96" s="39"/>
    </row>
    <row r="97" s="7" customFormat="1" ht="20.1" customHeight="1" spans="1:11">
      <c r="A97" s="34">
        <v>46169</v>
      </c>
      <c r="B97" s="35" t="s">
        <v>106</v>
      </c>
      <c r="C97" s="35">
        <f>_xlfn.XLOOKUP(B97,'Prod FG'!B:B,'Prod FG'!C:C,"-")</f>
        <v>0.021</v>
      </c>
      <c r="D97" s="35" t="s">
        <v>16</v>
      </c>
      <c r="E97" s="36">
        <v>0</v>
      </c>
      <c r="F97" s="37">
        <f t="shared" si="1"/>
        <v>0</v>
      </c>
      <c r="J97" s="39"/>
      <c r="K97" s="39"/>
    </row>
    <row r="98" s="7" customFormat="1" ht="20.1" customHeight="1" spans="1:11">
      <c r="A98" s="34">
        <v>46169</v>
      </c>
      <c r="B98" s="35" t="s">
        <v>107</v>
      </c>
      <c r="C98" s="35">
        <f>_xlfn.XLOOKUP(B98,'Prod FG'!B:B,'Prod FG'!C:C,"-")</f>
        <v>0.003</v>
      </c>
      <c r="D98" s="35" t="s">
        <v>16</v>
      </c>
      <c r="E98" s="36">
        <v>0</v>
      </c>
      <c r="F98" s="37">
        <f t="shared" si="1"/>
        <v>0</v>
      </c>
      <c r="J98" s="39"/>
      <c r="K98" s="39"/>
    </row>
    <row r="99" s="7" customFormat="1" ht="20.1" customHeight="1" spans="1:11">
      <c r="A99" s="34">
        <v>46169</v>
      </c>
      <c r="B99" s="35" t="s">
        <v>108</v>
      </c>
      <c r="C99" s="35">
        <f>_xlfn.XLOOKUP(B99,'Prod FG'!B:B,'Prod FG'!C:C,"-")</f>
        <v>0.019</v>
      </c>
      <c r="D99" s="35" t="s">
        <v>16</v>
      </c>
      <c r="E99" s="36">
        <v>0</v>
      </c>
      <c r="F99" s="37">
        <f t="shared" si="1"/>
        <v>0</v>
      </c>
      <c r="J99" s="39"/>
      <c r="K99" s="39"/>
    </row>
    <row r="100" s="7" customFormat="1" ht="20.1" customHeight="1" spans="1:11">
      <c r="A100" s="34">
        <v>46169</v>
      </c>
      <c r="B100" s="35" t="s">
        <v>109</v>
      </c>
      <c r="C100" s="35">
        <f>_xlfn.XLOOKUP(B100,'Prod FG'!B:B,'Prod FG'!C:C,"-")</f>
        <v>0.019</v>
      </c>
      <c r="D100" s="35" t="s">
        <v>16</v>
      </c>
      <c r="E100" s="36">
        <v>0</v>
      </c>
      <c r="F100" s="37">
        <f t="shared" si="1"/>
        <v>0</v>
      </c>
      <c r="J100" s="39"/>
      <c r="K100" s="39"/>
    </row>
    <row r="101" s="7" customFormat="1" ht="20.1" customHeight="1" spans="1:11">
      <c r="A101" s="34">
        <v>46169</v>
      </c>
      <c r="B101" s="35" t="s">
        <v>110</v>
      </c>
      <c r="C101" s="35">
        <f>_xlfn.XLOOKUP(B101,'Prod FG'!B:B,'Prod FG'!C:C,"-")</f>
        <v>0.008</v>
      </c>
      <c r="D101" s="35" t="s">
        <v>16</v>
      </c>
      <c r="E101" s="36">
        <v>0</v>
      </c>
      <c r="F101" s="37">
        <f t="shared" si="1"/>
        <v>0</v>
      </c>
      <c r="J101" s="39"/>
      <c r="K101" s="39"/>
    </row>
    <row r="102" s="7" customFormat="1" ht="20.1" customHeight="1" spans="1:11">
      <c r="A102" s="34">
        <v>46169</v>
      </c>
      <c r="B102" s="35" t="s">
        <v>111</v>
      </c>
      <c r="C102" s="35">
        <f>_xlfn.XLOOKUP(B102,'Prod FG'!B:B,'Prod FG'!C:C,"-")</f>
        <v>0.041</v>
      </c>
      <c r="D102" s="35" t="s">
        <v>16</v>
      </c>
      <c r="E102" s="36">
        <v>0</v>
      </c>
      <c r="F102" s="37">
        <f t="shared" si="1"/>
        <v>0</v>
      </c>
      <c r="J102" s="39"/>
      <c r="K102" s="39"/>
    </row>
    <row r="103" s="7" customFormat="1" ht="20.1" customHeight="1" spans="1:11">
      <c r="A103" s="34">
        <v>46169</v>
      </c>
      <c r="B103" s="35" t="s">
        <v>112</v>
      </c>
      <c r="C103" s="35">
        <f>_xlfn.XLOOKUP(B103,'Prod FG'!B:B,'Prod FG'!C:C,"-")</f>
        <v>0.075</v>
      </c>
      <c r="D103" s="35" t="s">
        <v>16</v>
      </c>
      <c r="E103" s="36">
        <v>0</v>
      </c>
      <c r="F103" s="37">
        <f t="shared" si="1"/>
        <v>0</v>
      </c>
      <c r="J103" s="39"/>
      <c r="K103" s="39"/>
    </row>
    <row r="104" s="7" customFormat="1" ht="20.1" customHeight="1" spans="1:11">
      <c r="A104" s="34">
        <v>46169</v>
      </c>
      <c r="B104" s="35" t="s">
        <v>113</v>
      </c>
      <c r="C104" s="35">
        <f>_xlfn.XLOOKUP(B104,'Prod FG'!B:B,'Prod FG'!C:C,"-")</f>
        <v>0.0638</v>
      </c>
      <c r="D104" s="35" t="s">
        <v>16</v>
      </c>
      <c r="E104" s="36">
        <v>0</v>
      </c>
      <c r="F104" s="37">
        <f t="shared" si="1"/>
        <v>0</v>
      </c>
      <c r="J104" s="39"/>
      <c r="K104" s="39"/>
    </row>
    <row r="105" s="7" customFormat="1" ht="20.1" customHeight="1" spans="1:11">
      <c r="A105" s="34">
        <v>46169</v>
      </c>
      <c r="B105" s="35" t="s">
        <v>114</v>
      </c>
      <c r="C105" s="35">
        <f>_xlfn.XLOOKUP(B105,'Prod FG'!B:B,'Prod FG'!C:C,"-")</f>
        <v>0.0072</v>
      </c>
      <c r="D105" s="35" t="s">
        <v>16</v>
      </c>
      <c r="E105" s="36">
        <v>0</v>
      </c>
      <c r="F105" s="37">
        <f t="shared" si="1"/>
        <v>0</v>
      </c>
      <c r="J105" s="39"/>
      <c r="K105" s="39"/>
    </row>
    <row r="106" s="7" customFormat="1" ht="20.1" customHeight="1" spans="1:11">
      <c r="A106" s="34">
        <v>46169</v>
      </c>
      <c r="B106" s="35" t="s">
        <v>115</v>
      </c>
      <c r="C106" s="35">
        <f>_xlfn.XLOOKUP(B106,'Prod FG'!B:B,'Prod FG'!C:C,"-")</f>
        <v>0.0283</v>
      </c>
      <c r="D106" s="35" t="s">
        <v>16</v>
      </c>
      <c r="E106" s="36">
        <v>0</v>
      </c>
      <c r="F106" s="37">
        <f t="shared" si="1"/>
        <v>0</v>
      </c>
      <c r="J106" s="39"/>
      <c r="K106" s="39"/>
    </row>
    <row r="107" s="7" customFormat="1" ht="20.1" customHeight="1" spans="1:11">
      <c r="A107" s="34">
        <v>46169</v>
      </c>
      <c r="B107" s="35" t="s">
        <v>116</v>
      </c>
      <c r="C107" s="35">
        <f>_xlfn.XLOOKUP(B107,'Prod FG'!B:B,'Prod FG'!C:C,"-")</f>
        <v>0.045</v>
      </c>
      <c r="D107" s="35" t="s">
        <v>16</v>
      </c>
      <c r="E107" s="36">
        <v>0</v>
      </c>
      <c r="F107" s="37">
        <f t="shared" si="1"/>
        <v>0</v>
      </c>
      <c r="J107" s="39"/>
      <c r="K107" s="39"/>
    </row>
    <row r="108" s="7" customFormat="1" ht="20.1" customHeight="1" spans="1:11">
      <c r="A108" s="34">
        <v>46169</v>
      </c>
      <c r="B108" s="35" t="s">
        <v>117</v>
      </c>
      <c r="C108" s="35">
        <f>_xlfn.XLOOKUP(B108,'Prod FG'!B:B,'Prod FG'!C:C,"-")</f>
        <v>0.332</v>
      </c>
      <c r="D108" s="35" t="s">
        <v>16</v>
      </c>
      <c r="E108" s="36">
        <v>0</v>
      </c>
      <c r="F108" s="37">
        <f t="shared" si="1"/>
        <v>0</v>
      </c>
      <c r="J108" s="39"/>
      <c r="K108" s="39"/>
    </row>
    <row r="109" s="7" customFormat="1" ht="20.1" customHeight="1" spans="1:11">
      <c r="A109" s="34">
        <v>46169</v>
      </c>
      <c r="B109" s="35" t="s">
        <v>118</v>
      </c>
      <c r="C109" s="35">
        <f>_xlfn.XLOOKUP(B109,'Prod FG'!B:B,'Prod FG'!C:C,"-")</f>
        <v>0.024</v>
      </c>
      <c r="D109" s="35" t="s">
        <v>16</v>
      </c>
      <c r="E109" s="36">
        <v>0</v>
      </c>
      <c r="F109" s="37">
        <f t="shared" si="1"/>
        <v>0</v>
      </c>
      <c r="J109" s="39"/>
      <c r="K109" s="39"/>
    </row>
    <row r="110" s="7" customFormat="1" ht="20.1" customHeight="1" spans="1:11">
      <c r="A110" s="34">
        <v>46169</v>
      </c>
      <c r="B110" s="35" t="s">
        <v>119</v>
      </c>
      <c r="C110" s="35">
        <f>_xlfn.XLOOKUP(B110,'Prod FG'!B:B,'Prod FG'!C:C,"-")</f>
        <v>0.0253</v>
      </c>
      <c r="D110" s="35" t="s">
        <v>16</v>
      </c>
      <c r="E110" s="36">
        <v>0</v>
      </c>
      <c r="F110" s="37">
        <f t="shared" si="1"/>
        <v>0</v>
      </c>
      <c r="J110" s="39"/>
      <c r="K110" s="39"/>
    </row>
    <row r="111" s="7" customFormat="1" ht="20.1" customHeight="1" spans="1:11">
      <c r="A111" s="34">
        <v>46169</v>
      </c>
      <c r="B111" s="35" t="s">
        <v>120</v>
      </c>
      <c r="C111" s="35">
        <f>_xlfn.XLOOKUP(B111,'Prod FG'!B:B,'Prod FG'!C:C,"-")</f>
        <v>0.022</v>
      </c>
      <c r="D111" s="35" t="s">
        <v>10</v>
      </c>
      <c r="E111" s="36">
        <v>0</v>
      </c>
      <c r="F111" s="37">
        <f t="shared" si="1"/>
        <v>0</v>
      </c>
      <c r="J111" s="39"/>
      <c r="K111" s="39"/>
    </row>
    <row r="112" s="7" customFormat="1" ht="20.1" customHeight="1" spans="1:11">
      <c r="A112" s="34">
        <v>46169</v>
      </c>
      <c r="B112" s="35" t="s">
        <v>121</v>
      </c>
      <c r="C112" s="35">
        <f>_xlfn.XLOOKUP(B112,'Prod FG'!B:B,'Prod FG'!C:C,"-")</f>
        <v>0.026</v>
      </c>
      <c r="D112" s="35" t="s">
        <v>10</v>
      </c>
      <c r="E112" s="36">
        <v>0</v>
      </c>
      <c r="F112" s="37">
        <f t="shared" si="1"/>
        <v>0</v>
      </c>
      <c r="J112" s="39"/>
      <c r="K112" s="39"/>
    </row>
    <row r="113" s="7" customFormat="1" ht="20.1" customHeight="1" spans="1:11">
      <c r="A113" s="34">
        <v>46169</v>
      </c>
      <c r="B113" s="35" t="s">
        <v>122</v>
      </c>
      <c r="C113" s="35">
        <f>_xlfn.XLOOKUP(B113,'Prod FG'!B:B,'Prod FG'!C:C,"-")</f>
        <v>0.026</v>
      </c>
      <c r="D113" s="35" t="s">
        <v>10</v>
      </c>
      <c r="E113" s="36">
        <v>0</v>
      </c>
      <c r="F113" s="37">
        <f t="shared" si="1"/>
        <v>0</v>
      </c>
      <c r="J113" s="39"/>
      <c r="K113" s="39"/>
    </row>
    <row r="114" s="7" customFormat="1" ht="20.1" customHeight="1" spans="1:11">
      <c r="A114" s="34">
        <v>46169</v>
      </c>
      <c r="B114" s="35" t="s">
        <v>123</v>
      </c>
      <c r="C114" s="35">
        <f>_xlfn.XLOOKUP(B114,'Prod FG'!B:B,'Prod FG'!C:C,"-")</f>
        <v>0.041</v>
      </c>
      <c r="D114" s="35" t="s">
        <v>10</v>
      </c>
      <c r="E114" s="36">
        <v>0</v>
      </c>
      <c r="F114" s="37">
        <f t="shared" si="1"/>
        <v>0</v>
      </c>
      <c r="J114" s="39"/>
      <c r="K114" s="39"/>
    </row>
    <row r="115" s="7" customFormat="1" ht="20.1" customHeight="1" spans="1:11">
      <c r="A115" s="34">
        <v>46169</v>
      </c>
      <c r="B115" s="35" t="s">
        <v>124</v>
      </c>
      <c r="C115" s="35">
        <f>_xlfn.XLOOKUP(B115,'Prod FG'!B:B,'Prod FG'!C:C,"-")</f>
        <v>0.046</v>
      </c>
      <c r="D115" s="35" t="s">
        <v>10</v>
      </c>
      <c r="E115" s="36">
        <v>288</v>
      </c>
      <c r="F115" s="37">
        <f t="shared" si="1"/>
        <v>13.248</v>
      </c>
      <c r="J115" s="39"/>
      <c r="K115" s="39"/>
    </row>
    <row r="116" s="7" customFormat="1" ht="20.1" customHeight="1" spans="1:11">
      <c r="A116" s="34">
        <v>46169</v>
      </c>
      <c r="B116" s="35" t="s">
        <v>125</v>
      </c>
      <c r="C116" s="35">
        <f>_xlfn.XLOOKUP(B116,'Prod FG'!B:B,'Prod FG'!C:C,"-")</f>
        <v>0.071</v>
      </c>
      <c r="D116" s="35" t="s">
        <v>10</v>
      </c>
      <c r="E116" s="36">
        <v>144</v>
      </c>
      <c r="F116" s="37">
        <f t="shared" si="1"/>
        <v>10.224</v>
      </c>
      <c r="J116" s="39"/>
      <c r="K116" s="39"/>
    </row>
    <row r="117" s="7" customFormat="1" ht="20.1" customHeight="1" spans="1:11">
      <c r="A117" s="34">
        <v>46169</v>
      </c>
      <c r="B117" s="35" t="s">
        <v>126</v>
      </c>
      <c r="C117" s="35">
        <f>_xlfn.XLOOKUP(B117,'Prod FG'!B:B,'Prod FG'!C:C,"-")</f>
        <v>0.071</v>
      </c>
      <c r="D117" s="35" t="s">
        <v>10</v>
      </c>
      <c r="E117" s="36">
        <v>180</v>
      </c>
      <c r="F117" s="37">
        <f t="shared" si="1"/>
        <v>12.78</v>
      </c>
      <c r="J117" s="39"/>
      <c r="K117" s="39"/>
    </row>
    <row r="118" s="7" customFormat="1" ht="20.1" customHeight="1" spans="1:11">
      <c r="A118" s="34">
        <v>46169</v>
      </c>
      <c r="B118" s="35" t="s">
        <v>127</v>
      </c>
      <c r="C118" s="35">
        <f>_xlfn.XLOOKUP(B118,'Prod FG'!B:B,'Prod FG'!C:C,"-")</f>
        <v>0.083</v>
      </c>
      <c r="D118" s="35" t="s">
        <v>10</v>
      </c>
      <c r="E118" s="36">
        <v>0</v>
      </c>
      <c r="F118" s="37">
        <f t="shared" si="1"/>
        <v>0</v>
      </c>
      <c r="J118" s="39"/>
      <c r="K118" s="39"/>
    </row>
    <row r="119" s="7" customFormat="1" ht="20.1" customHeight="1" spans="1:11">
      <c r="A119" s="34">
        <v>46169</v>
      </c>
      <c r="B119" s="35" t="s">
        <v>128</v>
      </c>
      <c r="C119" s="35">
        <f>_xlfn.XLOOKUP(B119,'Prod FG'!B:B,'Prod FG'!C:C,"-")</f>
        <v>0.083</v>
      </c>
      <c r="D119" s="35" t="s">
        <v>10</v>
      </c>
      <c r="E119" s="36">
        <v>0</v>
      </c>
      <c r="F119" s="37">
        <f t="shared" si="1"/>
        <v>0</v>
      </c>
      <c r="J119" s="39"/>
      <c r="K119" s="39"/>
    </row>
    <row r="120" s="7" customFormat="1" ht="20.1" customHeight="1" spans="1:11">
      <c r="A120" s="34">
        <v>46169</v>
      </c>
      <c r="B120" s="35" t="s">
        <v>129</v>
      </c>
      <c r="C120" s="35">
        <f>_xlfn.XLOOKUP(B120,'Prod FG'!B:B,'Prod FG'!C:C,"-")</f>
        <v>0.0021</v>
      </c>
      <c r="D120" s="35" t="s">
        <v>16</v>
      </c>
      <c r="E120" s="36">
        <v>0</v>
      </c>
      <c r="F120" s="37">
        <f t="shared" si="1"/>
        <v>0</v>
      </c>
      <c r="J120" s="39"/>
      <c r="K120" s="39"/>
    </row>
    <row r="121" s="7" customFormat="1" ht="20.1" customHeight="1" spans="1:11">
      <c r="A121" s="34">
        <v>46169</v>
      </c>
      <c r="B121" s="35" t="s">
        <v>130</v>
      </c>
      <c r="C121" s="35">
        <f>_xlfn.XLOOKUP(B121,'Prod FG'!B:B,'Prod FG'!C:C,"-")</f>
        <v>0.0023</v>
      </c>
      <c r="D121" s="35" t="s">
        <v>16</v>
      </c>
      <c r="E121" s="36">
        <v>0</v>
      </c>
      <c r="F121" s="37">
        <f t="shared" si="1"/>
        <v>0</v>
      </c>
      <c r="J121" s="39"/>
      <c r="K121" s="39"/>
    </row>
    <row r="122" s="7" customFormat="1" ht="20.1" customHeight="1" spans="1:11">
      <c r="A122" s="34">
        <v>46169</v>
      </c>
      <c r="B122" s="35" t="s">
        <v>131</v>
      </c>
      <c r="C122" s="35">
        <f>_xlfn.XLOOKUP(B122,'Prod FG'!B:B,'Prod FG'!C:C,"-")</f>
        <v>0.0081</v>
      </c>
      <c r="D122" s="35" t="s">
        <v>16</v>
      </c>
      <c r="E122" s="36">
        <v>0</v>
      </c>
      <c r="F122" s="37">
        <f t="shared" si="1"/>
        <v>0</v>
      </c>
      <c r="J122" s="39"/>
      <c r="K122" s="39"/>
    </row>
    <row r="123" s="7" customFormat="1" ht="20.1" customHeight="1" spans="1:11">
      <c r="A123" s="34">
        <v>46169</v>
      </c>
      <c r="B123" s="35" t="s">
        <v>132</v>
      </c>
      <c r="C123" s="35">
        <f>_xlfn.XLOOKUP(B123,'Prod FG'!B:B,'Prod FG'!C:C,"-")</f>
        <v>0.0123</v>
      </c>
      <c r="D123" s="35" t="s">
        <v>16</v>
      </c>
      <c r="E123" s="36">
        <v>0</v>
      </c>
      <c r="F123" s="37">
        <f t="shared" si="1"/>
        <v>0</v>
      </c>
      <c r="J123" s="39"/>
      <c r="K123" s="39"/>
    </row>
    <row r="124" s="7" customFormat="1" ht="20.1" customHeight="1" spans="1:11">
      <c r="A124" s="34">
        <v>46169</v>
      </c>
      <c r="B124" s="35" t="s">
        <v>133</v>
      </c>
      <c r="C124" s="35">
        <f>_xlfn.XLOOKUP(B124,'Prod FG'!B:B,'Prod FG'!C:C,"-")</f>
        <v>0.0018</v>
      </c>
      <c r="D124" s="35" t="s">
        <v>16</v>
      </c>
      <c r="E124" s="36">
        <v>0</v>
      </c>
      <c r="F124" s="37">
        <f t="shared" si="1"/>
        <v>0</v>
      </c>
      <c r="J124" s="39"/>
      <c r="K124" s="39"/>
    </row>
    <row r="125" s="7" customFormat="1" ht="20.1" customHeight="1" spans="1:11">
      <c r="A125" s="34">
        <v>46169</v>
      </c>
      <c r="B125" s="35" t="s">
        <v>134</v>
      </c>
      <c r="C125" s="35">
        <f>_xlfn.XLOOKUP(B125,'Prod FG'!B:B,'Prod FG'!C:C,"-")</f>
        <v>0.0048</v>
      </c>
      <c r="D125" s="35" t="s">
        <v>16</v>
      </c>
      <c r="E125" s="36">
        <v>0</v>
      </c>
      <c r="F125" s="37">
        <f t="shared" si="1"/>
        <v>0</v>
      </c>
      <c r="J125" s="39"/>
      <c r="K125" s="39"/>
    </row>
    <row r="126" s="7" customFormat="1" ht="20.1" customHeight="1" spans="1:11">
      <c r="A126" s="34">
        <v>46169</v>
      </c>
      <c r="B126" s="35" t="s">
        <v>135</v>
      </c>
      <c r="C126" s="35">
        <f>_xlfn.XLOOKUP(B126,'Prod FG'!B:B,'Prod FG'!C:C,"-")</f>
        <v>0.003</v>
      </c>
      <c r="D126" s="35" t="s">
        <v>16</v>
      </c>
      <c r="E126" s="36">
        <v>0</v>
      </c>
      <c r="F126" s="37">
        <f t="shared" si="1"/>
        <v>0</v>
      </c>
      <c r="J126" s="39"/>
      <c r="K126" s="39"/>
    </row>
    <row r="127" s="7" customFormat="1" ht="20.1" customHeight="1" spans="1:11">
      <c r="A127" s="34">
        <v>46169</v>
      </c>
      <c r="B127" s="35" t="s">
        <v>136</v>
      </c>
      <c r="C127" s="35">
        <f>_xlfn.XLOOKUP(B127,'Prod FG'!B:B,'Prod FG'!C:C,"-")</f>
        <v>0.0068</v>
      </c>
      <c r="D127" s="35" t="s">
        <v>16</v>
      </c>
      <c r="E127" s="36">
        <v>0</v>
      </c>
      <c r="F127" s="37">
        <f t="shared" si="1"/>
        <v>0</v>
      </c>
      <c r="J127" s="39"/>
      <c r="K127" s="39"/>
    </row>
    <row r="128" s="7" customFormat="1" ht="20.1" customHeight="1" spans="1:11">
      <c r="A128" s="34">
        <v>46169</v>
      </c>
      <c r="B128" s="35" t="s">
        <v>137</v>
      </c>
      <c r="C128" s="35">
        <f>_xlfn.XLOOKUP(B128,'Prod FG'!B:B,'Prod FG'!C:C,"-")</f>
        <v>0.0045</v>
      </c>
      <c r="D128" s="35" t="s">
        <v>16</v>
      </c>
      <c r="E128" s="36">
        <v>0</v>
      </c>
      <c r="F128" s="37">
        <f t="shared" si="1"/>
        <v>0</v>
      </c>
      <c r="J128" s="39"/>
      <c r="K128" s="39"/>
    </row>
    <row r="129" s="7" customFormat="1" ht="20.1" customHeight="1" spans="1:11">
      <c r="A129" s="34">
        <v>46169</v>
      </c>
      <c r="B129" s="35" t="s">
        <v>138</v>
      </c>
      <c r="C129" s="35">
        <f>_xlfn.XLOOKUP(B129,'Prod FG'!B:B,'Prod FG'!C:C,"-")</f>
        <v>0.0095</v>
      </c>
      <c r="D129" s="35" t="s">
        <v>16</v>
      </c>
      <c r="E129" s="36">
        <v>0</v>
      </c>
      <c r="F129" s="37">
        <f t="shared" si="1"/>
        <v>0</v>
      </c>
      <c r="J129" s="39"/>
      <c r="K129" s="39"/>
    </row>
  </sheetData>
  <dataValidations count="1">
    <dataValidation type="list" allowBlank="1" showInputMessage="1" showErrorMessage="1" sqref="B4:B129">
      <formula1>'Prod FG'!$B$2:$B$206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opLeftCell="A5" workbookViewId="0">
      <selection activeCell="L13" sqref="L13"/>
    </sheetView>
  </sheetViews>
  <sheetFormatPr defaultColWidth="9" defaultRowHeight="15"/>
  <cols>
    <col min="1" max="1" width="14.1428571428571" customWidth="1"/>
    <col min="2" max="2" width="19.1428571428571" customWidth="1"/>
    <col min="3" max="3" width="20.7142857142857" customWidth="1"/>
    <col min="4" max="4" width="12.5714285714286" customWidth="1"/>
    <col min="12" max="12" width="32.5714285714286" customWidth="1"/>
  </cols>
  <sheetData>
    <row r="1" ht="18.95" customHeight="1" spans="1:13">
      <c r="A1" s="22">
        <f ca="1">TODAY()-1</f>
        <v>46169</v>
      </c>
      <c r="D1" s="28">
        <f ca="1">SUMIF(A3:A100,A1,D3:D100)</f>
        <v>44.08</v>
      </c>
    </row>
    <row r="2" spans="1:13">
      <c r="A2" s="23" t="s">
        <v>149</v>
      </c>
      <c r="B2" s="23" t="s">
        <v>239</v>
      </c>
      <c r="C2" s="23" t="s">
        <v>240</v>
      </c>
      <c r="D2" s="23" t="s">
        <v>241</v>
      </c>
    </row>
    <row r="3" ht="20.1" customHeight="1" spans="1:13">
      <c r="A3" s="29">
        <v>46169</v>
      </c>
      <c r="B3" s="9" t="s">
        <v>201</v>
      </c>
      <c r="C3" s="9" t="s">
        <v>242</v>
      </c>
      <c r="D3" s="9">
        <v>4.37</v>
      </c>
      <c r="H3" t="s">
        <v>243</v>
      </c>
      <c r="I3">
        <v>53</v>
      </c>
    </row>
    <row r="4" ht="20.1" customHeight="1" spans="1:13">
      <c r="A4" s="29">
        <v>46169</v>
      </c>
      <c r="B4" s="9" t="s">
        <v>192</v>
      </c>
      <c r="C4" s="9" t="s">
        <v>242</v>
      </c>
      <c r="D4" s="9">
        <v>0.55</v>
      </c>
      <c r="I4">
        <f ca="1">D1/I3</f>
        <v>0.831698113207547</v>
      </c>
      <c r="L4" t="s">
        <v>244</v>
      </c>
      <c r="M4">
        <f>53*24</f>
        <v>1272</v>
      </c>
    </row>
    <row r="5" ht="20.1" customHeight="1" spans="1:13">
      <c r="A5" s="29">
        <v>46169</v>
      </c>
      <c r="B5" s="9" t="s">
        <v>176</v>
      </c>
      <c r="C5" s="9" t="s">
        <v>242</v>
      </c>
      <c r="D5" s="9">
        <v>1.08</v>
      </c>
      <c r="L5" t="s">
        <v>245</v>
      </c>
      <c r="M5">
        <f>M4*0.8</f>
        <v>1017.6</v>
      </c>
    </row>
    <row r="6" ht="20.1" customHeight="1" spans="1:13">
      <c r="A6" s="29">
        <v>46169</v>
      </c>
      <c r="B6" s="9" t="s">
        <v>177</v>
      </c>
      <c r="C6" s="9" t="s">
        <v>242</v>
      </c>
      <c r="D6" s="9">
        <v>1.63</v>
      </c>
      <c r="L6" t="s">
        <v>246</v>
      </c>
      <c r="M6">
        <f>M4-M5</f>
        <v>254.4</v>
      </c>
    </row>
    <row r="7" ht="20.1" customHeight="1" spans="1:13">
      <c r="A7" s="29">
        <v>46169</v>
      </c>
      <c r="B7" s="9" t="s">
        <v>179</v>
      </c>
      <c r="C7" s="9" t="s">
        <v>242</v>
      </c>
      <c r="D7" s="9">
        <v>3.2</v>
      </c>
      <c r="M7">
        <f>M6/53</f>
        <v>4.8</v>
      </c>
    </row>
    <row r="8" ht="20.1" customHeight="1" spans="1:13">
      <c r="A8" s="29">
        <v>46169</v>
      </c>
      <c r="B8" s="9" t="s">
        <v>179</v>
      </c>
      <c r="C8" s="9" t="s">
        <v>242</v>
      </c>
      <c r="D8" s="9">
        <v>1</v>
      </c>
    </row>
    <row r="9" ht="20.1" customHeight="1" spans="1:13">
      <c r="A9" s="29">
        <v>46169</v>
      </c>
      <c r="B9" s="9" t="s">
        <v>194</v>
      </c>
      <c r="C9" s="9" t="s">
        <v>247</v>
      </c>
      <c r="D9" s="9">
        <v>6</v>
      </c>
    </row>
    <row r="10" ht="20.1" customHeight="1" spans="1:13">
      <c r="A10" s="29">
        <v>46169</v>
      </c>
      <c r="B10" s="9" t="s">
        <v>191</v>
      </c>
      <c r="C10" s="9" t="s">
        <v>247</v>
      </c>
      <c r="D10" s="9">
        <v>10</v>
      </c>
    </row>
    <row r="11" ht="20.1" customHeight="1" spans="1:13">
      <c r="A11" s="29">
        <v>46169</v>
      </c>
      <c r="B11" s="9" t="s">
        <v>195</v>
      </c>
      <c r="C11" s="9" t="s">
        <v>247</v>
      </c>
      <c r="D11" s="9">
        <v>2.45</v>
      </c>
    </row>
    <row r="12" ht="20.1" customHeight="1" spans="1:13">
      <c r="A12" s="29">
        <v>46169</v>
      </c>
      <c r="B12" s="9" t="s">
        <v>194</v>
      </c>
      <c r="C12" s="9" t="s">
        <v>247</v>
      </c>
      <c r="D12" s="9">
        <v>1.13</v>
      </c>
    </row>
    <row r="13" ht="20.1" customHeight="1" spans="1:13">
      <c r="A13" s="29">
        <v>46169</v>
      </c>
      <c r="B13" s="9" t="s">
        <v>194</v>
      </c>
      <c r="C13" s="9" t="s">
        <v>247</v>
      </c>
      <c r="D13" s="9">
        <v>0.25</v>
      </c>
    </row>
    <row r="14" ht="20.1" customHeight="1" spans="1:13">
      <c r="A14" s="29">
        <v>46169</v>
      </c>
      <c r="B14" s="9" t="s">
        <v>191</v>
      </c>
      <c r="C14" s="9" t="s">
        <v>247</v>
      </c>
      <c r="D14" s="9">
        <v>0.33</v>
      </c>
    </row>
    <row r="15" ht="20.1" customHeight="1" spans="1:13">
      <c r="A15" s="29">
        <v>46169</v>
      </c>
      <c r="B15" s="9" t="s">
        <v>191</v>
      </c>
      <c r="C15" s="9" t="s">
        <v>247</v>
      </c>
      <c r="D15" s="9">
        <v>1.33</v>
      </c>
    </row>
    <row r="16" ht="20.1" customHeight="1" spans="1:13">
      <c r="A16" s="29">
        <v>46169</v>
      </c>
      <c r="B16" s="9" t="s">
        <v>191</v>
      </c>
      <c r="C16" s="9" t="s">
        <v>247</v>
      </c>
      <c r="D16" s="9">
        <v>1.92</v>
      </c>
    </row>
    <row r="17" ht="20.1" customHeight="1" spans="1:4">
      <c r="A17" s="29">
        <v>46169</v>
      </c>
      <c r="B17" s="9" t="s">
        <v>173</v>
      </c>
      <c r="C17" s="9" t="s">
        <v>247</v>
      </c>
      <c r="D17" s="9">
        <v>3.13</v>
      </c>
    </row>
    <row r="18" ht="20.1" customHeight="1" spans="1:4">
      <c r="A18" s="29">
        <v>46169</v>
      </c>
      <c r="B18" s="9" t="s">
        <v>174</v>
      </c>
      <c r="C18" s="9" t="s">
        <v>247</v>
      </c>
      <c r="D18" s="9">
        <v>1</v>
      </c>
    </row>
    <row r="19" ht="20.1" customHeight="1" spans="1:4">
      <c r="A19" s="29">
        <v>46169</v>
      </c>
      <c r="B19" s="9" t="s">
        <v>187</v>
      </c>
      <c r="C19" s="9" t="s">
        <v>247</v>
      </c>
      <c r="D19" s="9">
        <v>0.73</v>
      </c>
    </row>
    <row r="20" ht="20.1" customHeight="1" spans="1:4">
      <c r="A20" s="29">
        <v>46169</v>
      </c>
      <c r="B20" s="9" t="s">
        <v>180</v>
      </c>
      <c r="C20" s="9" t="s">
        <v>247</v>
      </c>
      <c r="D20" s="9">
        <v>2.6</v>
      </c>
    </row>
    <row r="21" ht="20.1" customHeight="1" spans="1:4">
      <c r="A21" s="29">
        <v>46169</v>
      </c>
      <c r="B21" s="9" t="s">
        <v>159</v>
      </c>
      <c r="C21" s="9" t="s">
        <v>247</v>
      </c>
      <c r="D21" s="9">
        <v>1.38</v>
      </c>
    </row>
    <row r="22" ht="20.1" customHeight="1" spans="1:4">
      <c r="A22" s="29"/>
      <c r="B22" s="9"/>
      <c r="C22" s="9"/>
      <c r="D22" s="9"/>
    </row>
    <row r="23" ht="20.1" customHeight="1" spans="1:4">
      <c r="A23" s="29"/>
      <c r="B23" s="9"/>
      <c r="C23" s="9"/>
      <c r="D23" s="9"/>
    </row>
    <row r="24" ht="20.1" customHeight="1" spans="1:4">
      <c r="A24" s="29"/>
      <c r="B24" s="9"/>
      <c r="C24" s="9"/>
      <c r="D24" s="9"/>
    </row>
    <row r="25" ht="20.1" customHeight="1" spans="1:4">
      <c r="A25" s="29"/>
      <c r="B25" s="9"/>
      <c r="C25" s="9"/>
      <c r="D25" s="9"/>
    </row>
    <row r="26" ht="20.1" customHeight="1" spans="1:4">
      <c r="A26" s="29"/>
      <c r="B26" s="9"/>
      <c r="C26" s="9"/>
      <c r="D26" s="9"/>
    </row>
    <row r="27" ht="20.1" customHeight="1" spans="1:4">
      <c r="A27" s="29"/>
      <c r="B27" s="9"/>
      <c r="C27" s="9"/>
      <c r="D27" s="9"/>
    </row>
    <row r="28" ht="20.1" customHeight="1" spans="1:4">
      <c r="A28" s="29"/>
      <c r="B28" s="9"/>
      <c r="C28" s="9"/>
      <c r="D28" s="9"/>
    </row>
    <row r="29" ht="20.1" customHeight="1" spans="1:4">
      <c r="A29" s="29"/>
      <c r="B29" s="9"/>
      <c r="C29" s="9"/>
      <c r="D29" s="9"/>
    </row>
    <row r="30" ht="20.1" customHeight="1" spans="1:4">
      <c r="A30" s="29"/>
      <c r="B30" s="9"/>
      <c r="C30" s="9"/>
      <c r="D30" s="9"/>
    </row>
    <row r="31" ht="20.1" customHeight="1" spans="1:4">
      <c r="A31" s="29"/>
      <c r="B31" s="9"/>
      <c r="C31" s="9"/>
      <c r="D31" s="9"/>
    </row>
    <row r="32" ht="20.1" customHeight="1" spans="1:4">
      <c r="A32" s="29"/>
      <c r="B32" s="9"/>
      <c r="C32" s="9"/>
      <c r="D32" s="9"/>
    </row>
    <row r="33" ht="20.1" customHeight="1" spans="1:4">
      <c r="A33" s="29"/>
      <c r="B33" s="9"/>
      <c r="C33" s="9"/>
      <c r="D33" s="9"/>
    </row>
    <row r="34" ht="20.1" customHeight="1" spans="1:4">
      <c r="A34" s="29"/>
      <c r="B34" s="9"/>
      <c r="C34" s="9"/>
      <c r="D34" s="9"/>
    </row>
    <row r="35" ht="20.1" customHeight="1" spans="1:4">
      <c r="A35" s="29"/>
      <c r="B35" s="9"/>
      <c r="C35" s="9"/>
      <c r="D35" s="9"/>
    </row>
    <row r="36" ht="20.1" customHeight="1" spans="1:4">
      <c r="A36" s="29"/>
      <c r="B36" s="9"/>
      <c r="C36" s="9"/>
      <c r="D36" s="9"/>
    </row>
    <row r="37" ht="20.1" customHeight="1" spans="1:4">
      <c r="A37" s="29"/>
      <c r="B37" s="9"/>
      <c r="C37" s="9"/>
      <c r="D37" s="9"/>
    </row>
    <row r="38" ht="20.1" customHeight="1" spans="1:4">
      <c r="A38" s="29"/>
      <c r="B38" s="9"/>
      <c r="C38" s="9"/>
      <c r="D38" s="9"/>
    </row>
    <row r="39" ht="20.1" customHeight="1" spans="1:4">
      <c r="A39" s="29"/>
      <c r="B39" s="9"/>
      <c r="C39" s="9"/>
      <c r="D39" s="9"/>
    </row>
    <row r="40" ht="20.1" customHeight="1" spans="1:4">
      <c r="A40" s="29"/>
      <c r="B40" s="9"/>
      <c r="C40" s="9"/>
      <c r="D40" s="9"/>
    </row>
    <row r="41" ht="20.1" customHeight="1" spans="1:4">
      <c r="A41" s="29"/>
      <c r="B41" s="9"/>
      <c r="C41" s="9"/>
      <c r="D41" s="9"/>
    </row>
    <row r="42" ht="20.1" customHeight="1" spans="1:4">
      <c r="A42" s="29"/>
      <c r="B42" s="9"/>
      <c r="C42" s="9"/>
      <c r="D42" s="9"/>
    </row>
    <row r="43" ht="20.1" customHeight="1" spans="1:4">
      <c r="A43" s="29"/>
      <c r="B43" s="9"/>
      <c r="C43" s="9"/>
      <c r="D43" s="9"/>
    </row>
    <row r="44" ht="20.1" customHeight="1" spans="1:4">
      <c r="A44" s="29"/>
      <c r="B44" s="9"/>
      <c r="C44" s="9"/>
      <c r="D44" s="9"/>
    </row>
    <row r="45" ht="20.1" customHeight="1" spans="1:4">
      <c r="A45" s="29"/>
      <c r="B45" s="9"/>
      <c r="C45" s="9"/>
      <c r="D45" s="9"/>
    </row>
    <row r="46" ht="20.1" customHeight="1" spans="1:4">
      <c r="A46" s="29"/>
      <c r="B46" s="9"/>
      <c r="C46" s="9"/>
      <c r="D46" s="9"/>
    </row>
    <row r="47" ht="20.1" customHeight="1" spans="1:4">
      <c r="A47" s="29"/>
      <c r="B47" s="9"/>
      <c r="C47" s="9"/>
      <c r="D47" s="9"/>
    </row>
    <row r="48" ht="20.1" customHeight="1" spans="1:4">
      <c r="A48" s="29"/>
      <c r="B48" s="9"/>
      <c r="C48" s="9"/>
      <c r="D48" s="9"/>
    </row>
    <row r="49" ht="20.1" customHeight="1" spans="1:4">
      <c r="A49" s="29"/>
      <c r="B49" s="9"/>
      <c r="C49" s="9"/>
      <c r="D49" s="9"/>
    </row>
    <row r="50" ht="20.1" customHeight="1" spans="1:4">
      <c r="A50" s="29"/>
      <c r="B50" s="9"/>
      <c r="C50" s="9"/>
      <c r="D50" s="9"/>
    </row>
    <row r="51" ht="20.1" customHeight="1" spans="1:4">
      <c r="A51" s="29"/>
      <c r="B51" s="9"/>
      <c r="C51" s="9"/>
      <c r="D51" s="9"/>
    </row>
    <row r="52" ht="20.1" customHeight="1" spans="1:4">
      <c r="A52" s="29"/>
      <c r="B52" s="9"/>
      <c r="C52" s="9"/>
      <c r="D52" s="9"/>
    </row>
    <row r="53" ht="20.1" customHeight="1" spans="1:4">
      <c r="A53" s="29"/>
      <c r="B53" s="9"/>
      <c r="C53" s="9"/>
      <c r="D53" s="9"/>
    </row>
    <row r="54" ht="20.1" customHeight="1" spans="1:4">
      <c r="A54" s="29"/>
      <c r="B54" s="9"/>
      <c r="C54" s="9"/>
      <c r="D54" s="9"/>
    </row>
    <row r="55" ht="20.1" customHeight="1" spans="1:4">
      <c r="A55" s="29"/>
      <c r="B55" s="9"/>
      <c r="C55" s="9"/>
      <c r="D55" s="9"/>
    </row>
    <row r="56" ht="20.1" customHeight="1" spans="1:4">
      <c r="A56" s="29"/>
      <c r="B56" s="9"/>
      <c r="C56" s="9"/>
      <c r="D56" s="9"/>
    </row>
    <row r="57" ht="20.1" customHeight="1" spans="1:4">
      <c r="A57" s="29"/>
      <c r="B57" s="9"/>
      <c r="C57" s="9"/>
      <c r="D57" s="9"/>
    </row>
    <row r="58" ht="20.1" customHeight="1" spans="1:4">
      <c r="A58" s="29"/>
      <c r="B58" s="9"/>
      <c r="C58" s="9"/>
      <c r="D58" s="9"/>
    </row>
    <row r="59" ht="20.1" customHeight="1" spans="1:4">
      <c r="A59" s="29"/>
      <c r="B59" s="9"/>
      <c r="C59" s="9"/>
      <c r="D59" s="9"/>
    </row>
    <row r="60" ht="20.1" customHeight="1" spans="1:4">
      <c r="A60" s="29"/>
      <c r="B60" s="9"/>
      <c r="C60" s="9"/>
      <c r="D60" s="9"/>
    </row>
    <row r="61" ht="20.1" customHeight="1" spans="1:4">
      <c r="A61" s="29"/>
      <c r="B61" s="9"/>
      <c r="C61" s="9"/>
      <c r="D61" s="9"/>
    </row>
    <row r="62" ht="20.1" customHeight="1" spans="1:4">
      <c r="A62" s="29"/>
      <c r="B62" s="9"/>
      <c r="C62" s="9"/>
      <c r="D62" s="9"/>
    </row>
    <row r="63" ht="20.1" customHeight="1" spans="1:4">
      <c r="A63" s="29"/>
      <c r="B63" s="9"/>
      <c r="C63" s="9"/>
      <c r="D63" s="9"/>
    </row>
    <row r="64" ht="20.1" customHeight="1" spans="1:4">
      <c r="A64" s="29"/>
      <c r="B64" s="9"/>
      <c r="C64" s="9"/>
      <c r="D64" s="9"/>
    </row>
    <row r="65" ht="20.1" customHeight="1" spans="1:4">
      <c r="A65" s="29"/>
      <c r="B65" s="9"/>
      <c r="C65" s="9"/>
      <c r="D65" s="9"/>
    </row>
    <row r="66" ht="20.1" customHeight="1" spans="1:4">
      <c r="A66" s="29"/>
      <c r="B66" s="9"/>
      <c r="C66" s="9"/>
      <c r="D66" s="9"/>
    </row>
    <row r="67" ht="20.1" customHeight="1" spans="1:4">
      <c r="A67" s="29"/>
      <c r="B67" s="9"/>
      <c r="C67" s="9"/>
      <c r="D67" s="9"/>
    </row>
    <row r="68" ht="20.1" customHeight="1" spans="1:4">
      <c r="A68" s="29"/>
      <c r="B68" s="9"/>
      <c r="C68" s="9"/>
      <c r="D68" s="9"/>
    </row>
    <row r="69" ht="20.1" customHeight="1" spans="1:4">
      <c r="A69" s="29"/>
      <c r="B69" s="9"/>
      <c r="C69" s="9"/>
      <c r="D69" s="9"/>
    </row>
    <row r="70" ht="20.1" customHeight="1" spans="1:4">
      <c r="A70" s="29"/>
      <c r="B70" s="9"/>
      <c r="C70" s="9"/>
      <c r="D70" s="9"/>
    </row>
    <row r="71" ht="20.1" customHeight="1" spans="1:4">
      <c r="A71" s="29"/>
      <c r="B71" s="9"/>
      <c r="C71" s="9"/>
      <c r="D71" s="9"/>
    </row>
    <row r="72" ht="20.1" customHeight="1" spans="1:4">
      <c r="A72" s="29"/>
      <c r="B72" s="9"/>
      <c r="C72" s="9"/>
      <c r="D72" s="9"/>
    </row>
    <row r="73" ht="20.1" customHeight="1" spans="1:4">
      <c r="A73" s="29"/>
      <c r="B73" s="9"/>
      <c r="C73" s="9"/>
      <c r="D73" s="9"/>
    </row>
    <row r="74" ht="20.1" customHeight="1" spans="1:4">
      <c r="A74" s="29"/>
      <c r="B74" s="9"/>
      <c r="C74" s="9"/>
      <c r="D74" s="9"/>
    </row>
    <row r="75" ht="20.1" customHeight="1" spans="1:4">
      <c r="A75" s="29"/>
      <c r="B75" s="9"/>
      <c r="C75" s="9"/>
      <c r="D75" s="9"/>
    </row>
    <row r="76" ht="20.1" customHeight="1" spans="1:4">
      <c r="A76" s="29"/>
      <c r="B76" s="9"/>
      <c r="C76" s="9"/>
      <c r="D76" s="9"/>
    </row>
    <row r="77" ht="20.1" customHeight="1" spans="1:4">
      <c r="A77" s="29"/>
      <c r="B77" s="9"/>
      <c r="C77" s="9"/>
      <c r="D77" s="9"/>
    </row>
    <row r="78" ht="20.1" customHeight="1" spans="1:4">
      <c r="A78" s="29"/>
      <c r="B78" s="9"/>
      <c r="C78" s="9"/>
      <c r="D78" s="9"/>
    </row>
    <row r="79" ht="20.1" customHeight="1" spans="1:4">
      <c r="A79" s="29"/>
      <c r="B79" s="9"/>
      <c r="C79" s="9"/>
      <c r="D79" s="9"/>
    </row>
    <row r="80" ht="20.1" customHeight="1" spans="1:4">
      <c r="A80" s="29"/>
      <c r="B80" s="9"/>
      <c r="C80" s="9"/>
      <c r="D80" s="9"/>
    </row>
    <row r="81" ht="20.1" customHeight="1" spans="1:4">
      <c r="A81" s="29"/>
      <c r="B81" s="9"/>
      <c r="C81" s="9"/>
      <c r="D81" s="9"/>
    </row>
    <row r="82" ht="20.1" customHeight="1" spans="1:4">
      <c r="A82" s="29"/>
      <c r="B82" s="9"/>
      <c r="C82" s="9"/>
      <c r="D82" s="9"/>
    </row>
    <row r="83" ht="20.1" customHeight="1" spans="1:4">
      <c r="A83" s="29"/>
      <c r="B83" s="9"/>
      <c r="C83" s="9"/>
      <c r="D83" s="9"/>
    </row>
    <row r="84" ht="20.1" customHeight="1" spans="1:4">
      <c r="A84" s="29"/>
      <c r="B84" s="9"/>
      <c r="C84" s="9"/>
      <c r="D84" s="9"/>
    </row>
    <row r="85" ht="20.1" customHeight="1" spans="1:4">
      <c r="A85" s="29"/>
      <c r="B85" s="9"/>
      <c r="C85" s="9"/>
      <c r="D85" s="9"/>
    </row>
    <row r="86" ht="20.1" customHeight="1" spans="1:4">
      <c r="A86" s="29"/>
      <c r="B86" s="9"/>
      <c r="C86" s="9"/>
      <c r="D86" s="9"/>
    </row>
    <row r="87" ht="20.1" customHeight="1" spans="1:4">
      <c r="A87" s="29"/>
      <c r="B87" s="9"/>
      <c r="C87" s="9"/>
      <c r="D87" s="9"/>
    </row>
    <row r="88" ht="20.1" customHeight="1" spans="1:4">
      <c r="A88" s="29"/>
      <c r="B88" s="9"/>
      <c r="C88" s="9"/>
      <c r="D88" s="9"/>
    </row>
    <row r="89" ht="20.1" customHeight="1" spans="1:4">
      <c r="A89" s="29"/>
      <c r="B89" s="9"/>
      <c r="C89" s="9"/>
      <c r="D89" s="9"/>
    </row>
    <row r="90" ht="20.1" customHeight="1" spans="1:4">
      <c r="A90" s="29"/>
      <c r="B90" s="9"/>
      <c r="C90" s="9"/>
      <c r="D90" s="9"/>
    </row>
    <row r="91" ht="20.1" customHeight="1" spans="1:4">
      <c r="A91" s="29"/>
      <c r="B91" s="9"/>
      <c r="C91" s="9"/>
      <c r="D91" s="9"/>
    </row>
    <row r="92" ht="20.1" customHeight="1" spans="1:4">
      <c r="A92" s="29"/>
      <c r="B92" s="9"/>
      <c r="C92" s="9"/>
      <c r="D92" s="9"/>
    </row>
    <row r="93" ht="20.1" customHeight="1" spans="1:4">
      <c r="A93" s="29"/>
      <c r="B93" s="9"/>
      <c r="C93" s="9"/>
      <c r="D93" s="9"/>
    </row>
    <row r="94" ht="20.1" customHeight="1" spans="1:4">
      <c r="A94" s="29"/>
      <c r="B94" s="9"/>
      <c r="C94" s="9"/>
      <c r="D94" s="9"/>
    </row>
    <row r="95" ht="20.1" customHeight="1" spans="1:4">
      <c r="A95" s="29"/>
      <c r="B95" s="9"/>
      <c r="C95" s="9"/>
      <c r="D95" s="9"/>
    </row>
    <row r="96" ht="20.1" customHeight="1" spans="1:4">
      <c r="A96" s="29"/>
      <c r="B96" s="9"/>
      <c r="C96" s="9"/>
      <c r="D96" s="9"/>
    </row>
    <row r="97" ht="20.1" customHeight="1" spans="1:4">
      <c r="A97" s="29"/>
      <c r="B97" s="9"/>
      <c r="C97" s="9"/>
      <c r="D97" s="9"/>
    </row>
    <row r="98" ht="20.1" customHeight="1" spans="1:4">
      <c r="A98" s="29"/>
      <c r="B98" s="9"/>
      <c r="C98" s="9"/>
      <c r="D98" s="9"/>
    </row>
    <row r="99" ht="20.1" customHeight="1" spans="1:4">
      <c r="A99" s="29"/>
      <c r="B99" s="9"/>
      <c r="C99" s="9"/>
      <c r="D99" s="9"/>
    </row>
    <row r="100" ht="20.1" customHeight="1" spans="1:4">
      <c r="A100" s="29"/>
      <c r="B100" s="9"/>
      <c r="C100" s="9"/>
      <c r="D100" s="9"/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opLeftCell="A77" workbookViewId="0">
      <selection activeCell="A3" sqref="A3:A95"/>
    </sheetView>
  </sheetViews>
  <sheetFormatPr defaultColWidth="9" defaultRowHeight="15" outlineLevelCol="5"/>
  <cols>
    <col min="1" max="1" width="12.2857142857143" customWidth="1"/>
    <col min="2" max="2" width="27.2857142857143" customWidth="1"/>
    <col min="3" max="3" width="14.7142857142857" customWidth="1"/>
    <col min="4" max="4" width="12.5714285714286" customWidth="1"/>
    <col min="5" max="5" width="11.7142857142857" customWidth="1"/>
    <col min="6" max="6" width="13.1428571428571" customWidth="1"/>
  </cols>
  <sheetData>
    <row r="1" ht="18.95" customHeight="1" spans="1:6">
      <c r="A1" s="22">
        <f ca="1">TODAY()-1</f>
        <v>46169</v>
      </c>
      <c r="C1" s="27">
        <f ca="1">SUMIF(A3:A95,A1,C3:C95)</f>
        <v>873450.38</v>
      </c>
      <c r="D1" s="27">
        <f ca="1">SUMIF(A3:A95,A1,D3:D95)</f>
        <v>214378</v>
      </c>
      <c r="E1" s="27">
        <f ca="1">SUMIF(A3:A95,A1,E3:E95)</f>
        <v>373629.5</v>
      </c>
      <c r="F1" s="27">
        <f ca="1">SUMIF(A3:A95,A1,F3:F95)</f>
        <v>714198.88</v>
      </c>
    </row>
    <row r="2" spans="1:6">
      <c r="A2" s="23" t="s">
        <v>149</v>
      </c>
      <c r="B2" s="23" t="s">
        <v>248</v>
      </c>
      <c r="C2" s="23" t="s">
        <v>249</v>
      </c>
      <c r="D2" s="23" t="s">
        <v>250</v>
      </c>
      <c r="E2" s="23" t="s">
        <v>251</v>
      </c>
      <c r="F2" s="23" t="s">
        <v>252</v>
      </c>
    </row>
    <row r="3" spans="1:6">
      <c r="A3" s="25">
        <v>46169</v>
      </c>
      <c r="B3" s="9" t="s">
        <v>253</v>
      </c>
      <c r="C3" s="10">
        <v>206425</v>
      </c>
      <c r="D3" s="10">
        <v>1000</v>
      </c>
      <c r="E3" s="10">
        <v>87375</v>
      </c>
      <c r="F3" s="10">
        <v>120050</v>
      </c>
    </row>
    <row r="4" spans="1:6">
      <c r="A4" s="25">
        <v>46169</v>
      </c>
      <c r="B4" s="9" t="s">
        <v>254</v>
      </c>
      <c r="C4" s="10">
        <v>103253.93</v>
      </c>
      <c r="D4" s="10">
        <v>29097</v>
      </c>
      <c r="E4" s="10">
        <v>32046.5</v>
      </c>
      <c r="F4" s="10">
        <v>100304.43</v>
      </c>
    </row>
    <row r="5" spans="1:6">
      <c r="A5" s="25">
        <v>46169</v>
      </c>
      <c r="B5" s="9" t="s">
        <v>255</v>
      </c>
      <c r="C5" s="10">
        <v>110100</v>
      </c>
      <c r="D5" s="10">
        <v>0</v>
      </c>
      <c r="E5" s="10">
        <v>15725</v>
      </c>
      <c r="F5" s="10">
        <v>94375</v>
      </c>
    </row>
    <row r="6" spans="1:6">
      <c r="A6" s="25">
        <v>46169</v>
      </c>
      <c r="B6" s="9" t="s">
        <v>256</v>
      </c>
      <c r="C6" s="10">
        <v>92725</v>
      </c>
      <c r="D6" s="10">
        <v>0</v>
      </c>
      <c r="E6" s="10">
        <v>12275</v>
      </c>
      <c r="F6" s="10">
        <v>80450</v>
      </c>
    </row>
    <row r="7" spans="1:6">
      <c r="A7" s="25">
        <v>46169</v>
      </c>
      <c r="B7" s="9" t="s">
        <v>257</v>
      </c>
      <c r="C7" s="10">
        <v>35646</v>
      </c>
      <c r="D7" s="10">
        <v>62376</v>
      </c>
      <c r="E7" s="10">
        <v>50175</v>
      </c>
      <c r="F7" s="10">
        <v>47847</v>
      </c>
    </row>
    <row r="8" spans="1:6">
      <c r="A8" s="25">
        <v>46169</v>
      </c>
      <c r="B8" s="9" t="s">
        <v>258</v>
      </c>
      <c r="C8" s="10">
        <v>12200</v>
      </c>
      <c r="D8" s="10">
        <v>30000</v>
      </c>
      <c r="E8" s="10">
        <v>1350</v>
      </c>
      <c r="F8" s="10">
        <v>40850</v>
      </c>
    </row>
    <row r="9" spans="1:6">
      <c r="A9" s="25">
        <v>46169</v>
      </c>
      <c r="B9" s="9" t="s">
        <v>259</v>
      </c>
      <c r="C9" s="10">
        <v>34915</v>
      </c>
      <c r="D9" s="10">
        <v>8100</v>
      </c>
      <c r="E9" s="10">
        <v>2500</v>
      </c>
      <c r="F9" s="10">
        <v>40515</v>
      </c>
    </row>
    <row r="10" spans="1:6">
      <c r="A10" s="25">
        <v>46169</v>
      </c>
      <c r="B10" s="9" t="s">
        <v>260</v>
      </c>
      <c r="C10" s="10">
        <v>30660</v>
      </c>
      <c r="D10" s="10">
        <v>10510</v>
      </c>
      <c r="E10" s="10">
        <v>785</v>
      </c>
      <c r="F10" s="10">
        <v>40385</v>
      </c>
    </row>
    <row r="11" spans="1:6">
      <c r="A11" s="25">
        <v>46169</v>
      </c>
      <c r="B11" s="9" t="s">
        <v>261</v>
      </c>
      <c r="C11" s="10">
        <v>59700</v>
      </c>
      <c r="D11" s="10">
        <v>1000</v>
      </c>
      <c r="E11" s="10">
        <v>22175</v>
      </c>
      <c r="F11" s="10">
        <v>38525</v>
      </c>
    </row>
    <row r="12" spans="1:6">
      <c r="A12" s="25">
        <v>46169</v>
      </c>
      <c r="B12" s="9" t="s">
        <v>262</v>
      </c>
      <c r="C12" s="10">
        <v>17330</v>
      </c>
      <c r="D12" s="10">
        <v>2660</v>
      </c>
      <c r="E12" s="10">
        <v>35</v>
      </c>
      <c r="F12" s="10">
        <v>19955</v>
      </c>
    </row>
    <row r="13" spans="1:6">
      <c r="A13" s="25">
        <v>46169</v>
      </c>
      <c r="B13" s="9" t="s">
        <v>263</v>
      </c>
      <c r="C13" s="10">
        <v>73000</v>
      </c>
      <c r="D13" s="10">
        <v>0</v>
      </c>
      <c r="E13" s="10">
        <v>57750</v>
      </c>
      <c r="F13" s="10">
        <v>15250</v>
      </c>
    </row>
    <row r="14" spans="1:6">
      <c r="A14" s="25">
        <v>46169</v>
      </c>
      <c r="B14" s="9" t="s">
        <v>264</v>
      </c>
      <c r="C14" s="10">
        <v>0</v>
      </c>
      <c r="D14" s="10">
        <v>30000</v>
      </c>
      <c r="E14" s="10">
        <v>15650</v>
      </c>
      <c r="F14" s="10">
        <v>14350</v>
      </c>
    </row>
    <row r="15" spans="1:6">
      <c r="A15" s="25">
        <v>46169</v>
      </c>
      <c r="B15" s="9" t="s">
        <v>265</v>
      </c>
      <c r="C15" s="10">
        <v>8196</v>
      </c>
      <c r="D15" s="10">
        <v>0</v>
      </c>
      <c r="E15" s="10">
        <v>0</v>
      </c>
      <c r="F15" s="10">
        <v>8196</v>
      </c>
    </row>
    <row r="16" spans="1:6">
      <c r="A16" s="25">
        <v>46169</v>
      </c>
      <c r="B16" s="9" t="s">
        <v>266</v>
      </c>
      <c r="C16" s="10">
        <v>16500</v>
      </c>
      <c r="D16" s="10">
        <v>0</v>
      </c>
      <c r="E16" s="10">
        <v>11000</v>
      </c>
      <c r="F16" s="10">
        <v>5500</v>
      </c>
    </row>
    <row r="17" spans="1:6">
      <c r="A17" s="25">
        <v>46169</v>
      </c>
      <c r="B17" s="9" t="s">
        <v>267</v>
      </c>
      <c r="C17" s="10">
        <v>7200</v>
      </c>
      <c r="D17" s="10">
        <v>24560</v>
      </c>
      <c r="E17" s="10">
        <v>27050</v>
      </c>
      <c r="F17" s="10">
        <v>4710</v>
      </c>
    </row>
    <row r="18" spans="1:6">
      <c r="A18" s="25">
        <v>46169</v>
      </c>
      <c r="B18" s="9" t="s">
        <v>268</v>
      </c>
      <c r="C18" s="10">
        <v>4050</v>
      </c>
      <c r="D18" s="10">
        <v>925</v>
      </c>
      <c r="E18" s="10">
        <v>850</v>
      </c>
      <c r="F18" s="10">
        <v>4125</v>
      </c>
    </row>
    <row r="19" spans="1:6">
      <c r="A19" s="25">
        <v>46169</v>
      </c>
      <c r="B19" s="9" t="s">
        <v>269</v>
      </c>
      <c r="C19" s="10">
        <v>3287</v>
      </c>
      <c r="D19" s="10">
        <v>0</v>
      </c>
      <c r="E19" s="10">
        <v>0</v>
      </c>
      <c r="F19" s="10">
        <v>3287</v>
      </c>
    </row>
    <row r="20" spans="1:6">
      <c r="A20" s="25">
        <v>46169</v>
      </c>
      <c r="B20" s="9" t="s">
        <v>270</v>
      </c>
      <c r="C20" s="10">
        <v>3150</v>
      </c>
      <c r="D20" s="10">
        <v>0</v>
      </c>
      <c r="E20" s="10">
        <v>0</v>
      </c>
      <c r="F20" s="10">
        <v>3150</v>
      </c>
    </row>
    <row r="21" spans="1:6">
      <c r="A21" s="25">
        <v>46169</v>
      </c>
      <c r="B21" s="9" t="s">
        <v>271</v>
      </c>
      <c r="C21" s="10">
        <v>2952</v>
      </c>
      <c r="D21" s="10">
        <v>0</v>
      </c>
      <c r="E21" s="10">
        <v>8</v>
      </c>
      <c r="F21" s="10">
        <v>2944</v>
      </c>
    </row>
    <row r="22" spans="1:6">
      <c r="A22" s="25">
        <v>46169</v>
      </c>
      <c r="B22" s="9" t="s">
        <v>272</v>
      </c>
      <c r="C22" s="10">
        <v>2640</v>
      </c>
      <c r="D22" s="10">
        <v>0</v>
      </c>
      <c r="E22" s="10">
        <v>25</v>
      </c>
      <c r="F22" s="10">
        <v>2615</v>
      </c>
    </row>
    <row r="23" spans="1:6">
      <c r="A23" s="25">
        <v>46169</v>
      </c>
      <c r="B23" s="9" t="s">
        <v>273</v>
      </c>
      <c r="C23" s="10">
        <v>2500</v>
      </c>
      <c r="D23" s="10">
        <v>0</v>
      </c>
      <c r="E23" s="10">
        <v>0</v>
      </c>
      <c r="F23" s="10">
        <v>2500</v>
      </c>
    </row>
    <row r="24" spans="1:6">
      <c r="A24" s="25">
        <v>46169</v>
      </c>
      <c r="B24" s="9" t="s">
        <v>274</v>
      </c>
      <c r="C24" s="10">
        <v>2788</v>
      </c>
      <c r="D24" s="10">
        <v>0</v>
      </c>
      <c r="E24" s="10">
        <v>351</v>
      </c>
      <c r="F24" s="10">
        <v>2437</v>
      </c>
    </row>
    <row r="25" spans="1:6">
      <c r="A25" s="25">
        <v>46169</v>
      </c>
      <c r="B25" s="9" t="s">
        <v>275</v>
      </c>
      <c r="C25" s="10">
        <v>2468.5</v>
      </c>
      <c r="D25" s="10">
        <v>0</v>
      </c>
      <c r="E25" s="10">
        <v>75</v>
      </c>
      <c r="F25" s="10">
        <v>2393.5</v>
      </c>
    </row>
    <row r="26" spans="1:6">
      <c r="A26" s="25">
        <v>46169</v>
      </c>
      <c r="B26" s="9" t="s">
        <v>276</v>
      </c>
      <c r="C26" s="10">
        <v>1000</v>
      </c>
      <c r="D26" s="10">
        <v>1350</v>
      </c>
      <c r="E26" s="10">
        <v>0</v>
      </c>
      <c r="F26" s="10">
        <v>2350</v>
      </c>
    </row>
    <row r="27" spans="1:6">
      <c r="A27" s="25">
        <v>46169</v>
      </c>
      <c r="B27" s="9" t="s">
        <v>277</v>
      </c>
      <c r="C27" s="10">
        <v>2300</v>
      </c>
      <c r="D27" s="10">
        <v>0</v>
      </c>
      <c r="E27" s="10">
        <v>0</v>
      </c>
      <c r="F27" s="10">
        <v>2300</v>
      </c>
    </row>
    <row r="28" spans="1:6">
      <c r="A28" s="25">
        <v>46169</v>
      </c>
      <c r="B28" s="9" t="s">
        <v>278</v>
      </c>
      <c r="C28" s="10">
        <v>1325</v>
      </c>
      <c r="D28" s="10">
        <v>1075</v>
      </c>
      <c r="E28" s="10">
        <v>225</v>
      </c>
      <c r="F28" s="10">
        <v>2175</v>
      </c>
    </row>
    <row r="29" spans="1:6">
      <c r="A29" s="25">
        <v>46169</v>
      </c>
      <c r="B29" s="9" t="s">
        <v>279</v>
      </c>
      <c r="C29" s="10">
        <v>1979</v>
      </c>
      <c r="D29" s="10">
        <v>0</v>
      </c>
      <c r="E29" s="10">
        <v>11</v>
      </c>
      <c r="F29" s="10">
        <v>1968</v>
      </c>
    </row>
    <row r="30" spans="1:6">
      <c r="A30" s="25">
        <v>46169</v>
      </c>
      <c r="B30" s="9" t="s">
        <v>280</v>
      </c>
      <c r="C30" s="10">
        <v>0</v>
      </c>
      <c r="D30" s="10">
        <v>2000</v>
      </c>
      <c r="E30" s="10">
        <v>700</v>
      </c>
      <c r="F30" s="10">
        <v>1300</v>
      </c>
    </row>
    <row r="31" spans="1:6">
      <c r="A31" s="25">
        <v>46169</v>
      </c>
      <c r="B31" s="9" t="s">
        <v>281</v>
      </c>
      <c r="C31" s="10">
        <v>2806.5</v>
      </c>
      <c r="D31" s="10">
        <v>700</v>
      </c>
      <c r="E31" s="10">
        <v>2500</v>
      </c>
      <c r="F31" s="10">
        <v>1006.5</v>
      </c>
    </row>
    <row r="32" spans="1:6">
      <c r="A32" s="25">
        <v>46169</v>
      </c>
      <c r="B32" s="9" t="s">
        <v>282</v>
      </c>
      <c r="C32" s="10">
        <v>661</v>
      </c>
      <c r="D32" s="10">
        <v>250</v>
      </c>
      <c r="E32" s="10">
        <v>139</v>
      </c>
      <c r="F32" s="10">
        <v>772</v>
      </c>
    </row>
    <row r="33" spans="1:6">
      <c r="A33" s="25">
        <v>46169</v>
      </c>
      <c r="B33" s="9" t="s">
        <v>283</v>
      </c>
      <c r="C33" s="10">
        <v>654</v>
      </c>
      <c r="D33" s="10">
        <v>0</v>
      </c>
      <c r="E33" s="10">
        <v>2</v>
      </c>
      <c r="F33" s="10">
        <v>652</v>
      </c>
    </row>
    <row r="34" spans="1:6">
      <c r="A34" s="25">
        <v>46169</v>
      </c>
      <c r="B34" s="9" t="s">
        <v>284</v>
      </c>
      <c r="C34" s="10">
        <v>660</v>
      </c>
      <c r="D34" s="10">
        <v>0</v>
      </c>
      <c r="E34" s="10">
        <v>119</v>
      </c>
      <c r="F34" s="10">
        <v>541</v>
      </c>
    </row>
    <row r="35" spans="1:6">
      <c r="A35" s="25">
        <v>46169</v>
      </c>
      <c r="B35" s="9" t="s">
        <v>285</v>
      </c>
      <c r="C35" s="10">
        <v>22750</v>
      </c>
      <c r="D35" s="10">
        <v>7500</v>
      </c>
      <c r="E35" s="10">
        <v>29720</v>
      </c>
      <c r="F35" s="10">
        <v>530</v>
      </c>
    </row>
    <row r="36" spans="1:6">
      <c r="A36" s="25">
        <v>46169</v>
      </c>
      <c r="B36" s="9" t="s">
        <v>286</v>
      </c>
      <c r="C36" s="10">
        <v>1093.7</v>
      </c>
      <c r="D36" s="10">
        <v>0</v>
      </c>
      <c r="E36" s="10">
        <v>584</v>
      </c>
      <c r="F36" s="10">
        <v>509.7</v>
      </c>
    </row>
    <row r="37" spans="1:6">
      <c r="A37" s="25">
        <v>46169</v>
      </c>
      <c r="B37" s="9" t="s">
        <v>287</v>
      </c>
      <c r="C37" s="10">
        <v>590.3</v>
      </c>
      <c r="D37" s="10">
        <v>0</v>
      </c>
      <c r="E37" s="10">
        <v>118</v>
      </c>
      <c r="F37" s="10">
        <v>472.3</v>
      </c>
    </row>
    <row r="38" spans="1:6">
      <c r="A38" s="25">
        <v>46169</v>
      </c>
      <c r="B38" s="9" t="s">
        <v>288</v>
      </c>
      <c r="C38" s="10">
        <v>527.3</v>
      </c>
      <c r="D38" s="10">
        <v>250</v>
      </c>
      <c r="E38" s="10">
        <v>334</v>
      </c>
      <c r="F38" s="10">
        <v>443.3</v>
      </c>
    </row>
    <row r="39" spans="1:6">
      <c r="A39" s="25">
        <v>46169</v>
      </c>
      <c r="B39" s="9" t="s">
        <v>289</v>
      </c>
      <c r="C39" s="10">
        <v>463</v>
      </c>
      <c r="D39" s="10">
        <v>0</v>
      </c>
      <c r="E39" s="10">
        <v>22</v>
      </c>
      <c r="F39" s="10">
        <v>441</v>
      </c>
    </row>
    <row r="40" spans="1:6">
      <c r="A40" s="25">
        <v>46169</v>
      </c>
      <c r="B40" s="9" t="s">
        <v>290</v>
      </c>
      <c r="C40" s="10">
        <v>375</v>
      </c>
      <c r="D40" s="10">
        <v>0</v>
      </c>
      <c r="E40" s="10">
        <v>0</v>
      </c>
      <c r="F40" s="10">
        <v>375</v>
      </c>
    </row>
    <row r="41" spans="1:6">
      <c r="A41" s="25">
        <v>46169</v>
      </c>
      <c r="B41" s="9" t="s">
        <v>291</v>
      </c>
      <c r="C41" s="10">
        <v>386.79</v>
      </c>
      <c r="D41" s="10">
        <v>0</v>
      </c>
      <c r="E41" s="10">
        <v>30</v>
      </c>
      <c r="F41" s="10">
        <v>356.79</v>
      </c>
    </row>
    <row r="42" spans="1:6">
      <c r="A42" s="25">
        <v>46169</v>
      </c>
      <c r="B42" s="9" t="s">
        <v>292</v>
      </c>
      <c r="C42" s="10">
        <v>296.4</v>
      </c>
      <c r="D42" s="10">
        <v>0</v>
      </c>
      <c r="E42" s="10">
        <v>9</v>
      </c>
      <c r="F42" s="10">
        <v>287.4</v>
      </c>
    </row>
    <row r="43" spans="1:6">
      <c r="A43" s="25">
        <v>46169</v>
      </c>
      <c r="B43" s="9" t="s">
        <v>293</v>
      </c>
      <c r="C43" s="10">
        <v>295</v>
      </c>
      <c r="D43" s="10">
        <v>0</v>
      </c>
      <c r="E43" s="10">
        <v>8</v>
      </c>
      <c r="F43" s="10">
        <v>287</v>
      </c>
    </row>
    <row r="44" spans="1:6">
      <c r="A44" s="25">
        <v>46169</v>
      </c>
      <c r="B44" s="9" t="s">
        <v>294</v>
      </c>
      <c r="C44" s="10">
        <v>282.08</v>
      </c>
      <c r="D44" s="10">
        <v>0</v>
      </c>
      <c r="E44" s="10">
        <v>10</v>
      </c>
      <c r="F44" s="10">
        <v>272.08</v>
      </c>
    </row>
    <row r="45" spans="1:6">
      <c r="A45" s="25">
        <v>46169</v>
      </c>
      <c r="B45" s="9" t="s">
        <v>295</v>
      </c>
      <c r="C45" s="10">
        <v>250</v>
      </c>
      <c r="D45" s="10">
        <v>0</v>
      </c>
      <c r="E45" s="10">
        <v>0</v>
      </c>
      <c r="F45" s="10">
        <v>250</v>
      </c>
    </row>
    <row r="46" spans="1:6">
      <c r="A46" s="25">
        <v>46169</v>
      </c>
      <c r="B46" s="9" t="s">
        <v>296</v>
      </c>
      <c r="C46" s="10">
        <v>309.5</v>
      </c>
      <c r="D46" s="10">
        <v>0</v>
      </c>
      <c r="E46" s="10">
        <v>104</v>
      </c>
      <c r="F46" s="10">
        <v>205.5</v>
      </c>
    </row>
    <row r="47" spans="1:6">
      <c r="A47" s="25">
        <v>46169</v>
      </c>
      <c r="B47" s="9" t="s">
        <v>297</v>
      </c>
      <c r="C47" s="10">
        <v>119.58</v>
      </c>
      <c r="D47" s="10">
        <v>75</v>
      </c>
      <c r="E47" s="10">
        <v>6</v>
      </c>
      <c r="F47" s="10">
        <v>188.58</v>
      </c>
    </row>
    <row r="48" spans="1:6">
      <c r="A48" s="25">
        <v>46169</v>
      </c>
      <c r="B48" s="9" t="s">
        <v>298</v>
      </c>
      <c r="C48" s="10">
        <v>176</v>
      </c>
      <c r="D48" s="10">
        <v>0</v>
      </c>
      <c r="E48" s="10">
        <v>10</v>
      </c>
      <c r="F48" s="10">
        <v>166</v>
      </c>
    </row>
    <row r="49" spans="1:6">
      <c r="A49" s="25">
        <v>46169</v>
      </c>
      <c r="B49" s="9" t="s">
        <v>299</v>
      </c>
      <c r="C49" s="10">
        <v>328</v>
      </c>
      <c r="D49" s="10">
        <v>0</v>
      </c>
      <c r="E49" s="10">
        <v>173</v>
      </c>
      <c r="F49" s="10">
        <v>155</v>
      </c>
    </row>
    <row r="50" spans="1:6">
      <c r="A50" s="25">
        <v>46169</v>
      </c>
      <c r="B50" s="9" t="s">
        <v>300</v>
      </c>
      <c r="C50" s="10">
        <v>147.2</v>
      </c>
      <c r="D50" s="10">
        <v>0</v>
      </c>
      <c r="E50" s="10">
        <v>0</v>
      </c>
      <c r="F50" s="10">
        <v>147.2</v>
      </c>
    </row>
    <row r="51" spans="1:6">
      <c r="A51" s="25">
        <v>46169</v>
      </c>
      <c r="B51" s="9" t="s">
        <v>301</v>
      </c>
      <c r="C51" s="10">
        <v>178</v>
      </c>
      <c r="D51" s="10">
        <v>0</v>
      </c>
      <c r="E51" s="10">
        <v>41</v>
      </c>
      <c r="F51" s="10">
        <v>137</v>
      </c>
    </row>
    <row r="52" spans="1:6">
      <c r="A52" s="25">
        <v>46169</v>
      </c>
      <c r="B52" s="9" t="s">
        <v>302</v>
      </c>
      <c r="C52" s="10">
        <v>137</v>
      </c>
      <c r="D52" s="10">
        <v>0</v>
      </c>
      <c r="E52" s="10">
        <v>0</v>
      </c>
      <c r="F52" s="10">
        <v>137</v>
      </c>
    </row>
    <row r="53" spans="1:6">
      <c r="A53" s="25">
        <v>46169</v>
      </c>
      <c r="B53" s="9" t="s">
        <v>303</v>
      </c>
      <c r="C53" s="10">
        <v>140</v>
      </c>
      <c r="D53" s="10">
        <v>250</v>
      </c>
      <c r="E53" s="10">
        <v>279</v>
      </c>
      <c r="F53" s="10">
        <v>111</v>
      </c>
    </row>
    <row r="54" spans="1:6">
      <c r="A54" s="25">
        <v>46169</v>
      </c>
      <c r="B54" s="9" t="s">
        <v>304</v>
      </c>
      <c r="C54" s="10">
        <v>124.5</v>
      </c>
      <c r="D54" s="10">
        <v>50</v>
      </c>
      <c r="E54" s="10">
        <v>65</v>
      </c>
      <c r="F54" s="10">
        <v>109.5</v>
      </c>
    </row>
    <row r="55" spans="1:6">
      <c r="A55" s="25">
        <v>46169</v>
      </c>
      <c r="B55" s="9" t="s">
        <v>305</v>
      </c>
      <c r="C55" s="10">
        <v>182.2</v>
      </c>
      <c r="D55" s="10">
        <v>0</v>
      </c>
      <c r="E55" s="10">
        <v>78</v>
      </c>
      <c r="F55" s="10">
        <v>104.2</v>
      </c>
    </row>
    <row r="56" spans="1:6">
      <c r="A56" s="25">
        <v>46169</v>
      </c>
      <c r="B56" s="9" t="s">
        <v>306</v>
      </c>
      <c r="C56" s="10">
        <v>550</v>
      </c>
      <c r="D56" s="10">
        <v>500</v>
      </c>
      <c r="E56" s="10">
        <v>950</v>
      </c>
      <c r="F56" s="10">
        <v>100</v>
      </c>
    </row>
    <row r="57" spans="1:6">
      <c r="A57" s="25">
        <v>46169</v>
      </c>
      <c r="B57" s="9" t="s">
        <v>307</v>
      </c>
      <c r="C57" s="10">
        <v>83</v>
      </c>
      <c r="D57" s="10">
        <v>0</v>
      </c>
      <c r="E57" s="10">
        <v>14</v>
      </c>
      <c r="F57" s="10">
        <v>69</v>
      </c>
    </row>
    <row r="58" spans="1:6">
      <c r="A58" s="25">
        <v>46169</v>
      </c>
      <c r="B58" s="9" t="s">
        <v>308</v>
      </c>
      <c r="C58" s="10">
        <v>55.3</v>
      </c>
      <c r="D58" s="10">
        <v>0</v>
      </c>
      <c r="E58" s="10">
        <v>0</v>
      </c>
      <c r="F58" s="10">
        <v>55.3</v>
      </c>
    </row>
    <row r="59" spans="1:6">
      <c r="A59" s="25">
        <v>46169</v>
      </c>
      <c r="B59" s="9" t="s">
        <v>309</v>
      </c>
      <c r="C59" s="10">
        <v>50</v>
      </c>
      <c r="D59" s="10">
        <v>0</v>
      </c>
      <c r="E59" s="10">
        <v>0</v>
      </c>
      <c r="F59" s="10">
        <v>50</v>
      </c>
    </row>
    <row r="60" spans="1:6">
      <c r="A60" s="25">
        <v>46169</v>
      </c>
      <c r="B60" s="9" t="s">
        <v>310</v>
      </c>
      <c r="C60" s="10">
        <v>50</v>
      </c>
      <c r="D60" s="10">
        <v>0</v>
      </c>
      <c r="E60" s="10">
        <v>0</v>
      </c>
      <c r="F60" s="10">
        <v>50</v>
      </c>
    </row>
    <row r="61" spans="1:6">
      <c r="A61" s="25">
        <v>46169</v>
      </c>
      <c r="B61" s="9" t="s">
        <v>311</v>
      </c>
      <c r="C61" s="10">
        <v>0</v>
      </c>
      <c r="D61" s="10">
        <v>50</v>
      </c>
      <c r="E61" s="10">
        <v>0</v>
      </c>
      <c r="F61" s="10">
        <v>50</v>
      </c>
    </row>
    <row r="62" spans="1:6">
      <c r="A62" s="25">
        <v>46169</v>
      </c>
      <c r="B62" s="9" t="s">
        <v>312</v>
      </c>
      <c r="C62" s="10">
        <v>47</v>
      </c>
      <c r="D62" s="10">
        <v>0</v>
      </c>
      <c r="E62" s="10">
        <v>0</v>
      </c>
      <c r="F62" s="10">
        <v>47</v>
      </c>
    </row>
    <row r="63" spans="1:6">
      <c r="A63" s="25">
        <v>46169</v>
      </c>
      <c r="B63" s="9" t="s">
        <v>313</v>
      </c>
      <c r="C63" s="10">
        <v>6</v>
      </c>
      <c r="D63" s="10">
        <v>50</v>
      </c>
      <c r="E63" s="10">
        <v>16</v>
      </c>
      <c r="F63" s="10">
        <v>40</v>
      </c>
    </row>
    <row r="64" spans="1:6">
      <c r="A64" s="25">
        <v>46169</v>
      </c>
      <c r="B64" s="9" t="s">
        <v>314</v>
      </c>
      <c r="C64" s="10">
        <v>37.5</v>
      </c>
      <c r="D64" s="10">
        <v>0</v>
      </c>
      <c r="E64" s="10">
        <v>0</v>
      </c>
      <c r="F64" s="10">
        <v>37.5</v>
      </c>
    </row>
    <row r="65" spans="1:6">
      <c r="A65" s="25">
        <v>46169</v>
      </c>
      <c r="B65" s="9" t="s">
        <v>315</v>
      </c>
      <c r="C65" s="10">
        <v>0</v>
      </c>
      <c r="D65" s="10">
        <v>50</v>
      </c>
      <c r="E65" s="10">
        <v>21</v>
      </c>
      <c r="F65" s="10">
        <v>29</v>
      </c>
    </row>
    <row r="66" spans="1:6">
      <c r="A66" s="25">
        <v>46169</v>
      </c>
      <c r="B66" s="9" t="s">
        <v>316</v>
      </c>
      <c r="C66" s="10">
        <v>41</v>
      </c>
      <c r="D66" s="10">
        <v>0</v>
      </c>
      <c r="E66" s="10">
        <v>13</v>
      </c>
      <c r="F66" s="10">
        <v>28</v>
      </c>
    </row>
    <row r="67" spans="1:6">
      <c r="A67" s="25">
        <v>46169</v>
      </c>
      <c r="B67" s="9" t="s">
        <v>317</v>
      </c>
      <c r="C67" s="10">
        <v>26</v>
      </c>
      <c r="D67" s="10">
        <v>0</v>
      </c>
      <c r="E67" s="10">
        <v>0</v>
      </c>
      <c r="F67" s="10">
        <v>26</v>
      </c>
    </row>
    <row r="68" spans="1:6">
      <c r="A68" s="25">
        <v>46169</v>
      </c>
      <c r="B68" s="9" t="s">
        <v>318</v>
      </c>
      <c r="C68" s="10">
        <v>25</v>
      </c>
      <c r="D68" s="10">
        <v>0</v>
      </c>
      <c r="E68" s="10">
        <v>0</v>
      </c>
      <c r="F68" s="10">
        <v>25</v>
      </c>
    </row>
    <row r="69" spans="1:6">
      <c r="A69" s="25">
        <v>46169</v>
      </c>
      <c r="B69" s="9" t="s">
        <v>319</v>
      </c>
      <c r="C69" s="10">
        <v>25</v>
      </c>
      <c r="D69" s="10">
        <v>0</v>
      </c>
      <c r="E69" s="10">
        <v>0</v>
      </c>
      <c r="F69" s="10">
        <v>25</v>
      </c>
    </row>
    <row r="70" spans="1:6">
      <c r="A70" s="25">
        <v>46169</v>
      </c>
      <c r="B70" s="9" t="s">
        <v>320</v>
      </c>
      <c r="C70" s="10">
        <v>25</v>
      </c>
      <c r="D70" s="10">
        <v>0</v>
      </c>
      <c r="E70" s="10">
        <v>0</v>
      </c>
      <c r="F70" s="10">
        <v>25</v>
      </c>
    </row>
    <row r="71" spans="1:6">
      <c r="A71" s="25">
        <v>46169</v>
      </c>
      <c r="B71" s="9" t="s">
        <v>321</v>
      </c>
      <c r="C71" s="10">
        <v>20</v>
      </c>
      <c r="D71" s="10">
        <v>0</v>
      </c>
      <c r="E71" s="10">
        <v>0</v>
      </c>
      <c r="F71" s="10">
        <v>20</v>
      </c>
    </row>
    <row r="72" spans="1:6">
      <c r="A72" s="25">
        <v>46169</v>
      </c>
      <c r="B72" s="9" t="s">
        <v>322</v>
      </c>
      <c r="C72" s="10">
        <v>18</v>
      </c>
      <c r="D72" s="10">
        <v>0</v>
      </c>
      <c r="E72" s="10">
        <v>0</v>
      </c>
      <c r="F72" s="10">
        <v>18</v>
      </c>
    </row>
    <row r="73" spans="1:6">
      <c r="A73" s="25">
        <v>46169</v>
      </c>
      <c r="B73" s="9" t="s">
        <v>323</v>
      </c>
      <c r="C73" s="10">
        <v>145.1</v>
      </c>
      <c r="D73" s="10">
        <v>0</v>
      </c>
      <c r="E73" s="10">
        <v>128</v>
      </c>
      <c r="F73" s="10">
        <v>17.1</v>
      </c>
    </row>
    <row r="74" spans="1:6">
      <c r="A74" s="25">
        <v>46169</v>
      </c>
      <c r="B74" s="9" t="s">
        <v>324</v>
      </c>
      <c r="C74" s="10">
        <v>15</v>
      </c>
      <c r="D74" s="10">
        <v>0</v>
      </c>
      <c r="E74" s="10">
        <v>0</v>
      </c>
      <c r="F74" s="10">
        <v>15</v>
      </c>
    </row>
    <row r="75" spans="1:6">
      <c r="A75" s="25">
        <v>46169</v>
      </c>
      <c r="B75" s="9" t="s">
        <v>325</v>
      </c>
      <c r="C75" s="10">
        <v>8</v>
      </c>
      <c r="D75" s="10">
        <v>0</v>
      </c>
      <c r="E75" s="10">
        <v>0</v>
      </c>
      <c r="F75" s="10">
        <v>8</v>
      </c>
    </row>
    <row r="76" spans="1:6">
      <c r="A76" s="25">
        <v>46169</v>
      </c>
      <c r="B76" s="9" t="s">
        <v>326</v>
      </c>
      <c r="C76" s="10">
        <v>0</v>
      </c>
      <c r="D76" s="10">
        <v>0</v>
      </c>
      <c r="E76" s="10">
        <v>0</v>
      </c>
      <c r="F76" s="10">
        <v>0</v>
      </c>
    </row>
    <row r="77" spans="1:6">
      <c r="A77" s="25">
        <v>46169</v>
      </c>
      <c r="B77" s="9" t="s">
        <v>327</v>
      </c>
      <c r="C77" s="10">
        <v>0</v>
      </c>
      <c r="D77" s="10">
        <v>0</v>
      </c>
      <c r="E77" s="10">
        <v>0</v>
      </c>
      <c r="F77" s="10">
        <v>0</v>
      </c>
    </row>
    <row r="78" spans="1:6">
      <c r="A78" s="25">
        <v>46169</v>
      </c>
      <c r="B78" s="9" t="s">
        <v>328</v>
      </c>
      <c r="C78" s="10">
        <v>0</v>
      </c>
      <c r="D78" s="10">
        <v>0</v>
      </c>
      <c r="E78" s="10">
        <v>0</v>
      </c>
      <c r="F78" s="10">
        <v>0</v>
      </c>
    </row>
    <row r="79" spans="1:6">
      <c r="A79" s="25">
        <v>46169</v>
      </c>
      <c r="B79" s="9" t="s">
        <v>329</v>
      </c>
      <c r="C79" s="10">
        <v>0</v>
      </c>
      <c r="D79" s="10">
        <v>0</v>
      </c>
      <c r="E79" s="10">
        <v>0</v>
      </c>
      <c r="F79" s="10">
        <v>0</v>
      </c>
    </row>
    <row r="80" spans="1:6">
      <c r="A80" s="25">
        <v>46169</v>
      </c>
      <c r="B80" s="9" t="s">
        <v>330</v>
      </c>
      <c r="C80" s="10">
        <v>0</v>
      </c>
      <c r="D80" s="10">
        <v>0</v>
      </c>
      <c r="E80" s="10">
        <v>0</v>
      </c>
      <c r="F80" s="10">
        <v>0</v>
      </c>
    </row>
    <row r="81" spans="1:6">
      <c r="A81" s="25">
        <v>46169</v>
      </c>
      <c r="B81" s="9" t="s">
        <v>331</v>
      </c>
      <c r="C81" s="10">
        <v>0</v>
      </c>
      <c r="D81" s="10">
        <v>0</v>
      </c>
      <c r="E81" s="10">
        <v>0</v>
      </c>
      <c r="F81" s="10">
        <v>0</v>
      </c>
    </row>
    <row r="82" spans="1:6">
      <c r="A82" s="25">
        <v>46169</v>
      </c>
      <c r="B82" s="9" t="s">
        <v>332</v>
      </c>
      <c r="C82" s="10">
        <v>0</v>
      </c>
      <c r="D82" s="10">
        <v>0</v>
      </c>
      <c r="E82" s="10">
        <v>0</v>
      </c>
      <c r="F82" s="10">
        <v>0</v>
      </c>
    </row>
    <row r="83" spans="1:6">
      <c r="A83" s="25">
        <v>46169</v>
      </c>
      <c r="B83" s="9" t="s">
        <v>333</v>
      </c>
      <c r="C83" s="10">
        <v>0</v>
      </c>
      <c r="D83" s="10">
        <v>0</v>
      </c>
      <c r="E83" s="10">
        <v>0</v>
      </c>
      <c r="F83" s="10">
        <v>0</v>
      </c>
    </row>
    <row r="84" spans="1:6">
      <c r="A84" s="25">
        <v>46169</v>
      </c>
      <c r="B84" s="9" t="s">
        <v>334</v>
      </c>
      <c r="C84" s="10">
        <v>0</v>
      </c>
      <c r="D84" s="10">
        <v>0</v>
      </c>
      <c r="E84" s="10">
        <v>0</v>
      </c>
      <c r="F84" s="10">
        <v>0</v>
      </c>
    </row>
    <row r="85" spans="1:6">
      <c r="A85" s="25">
        <v>46169</v>
      </c>
      <c r="B85" s="9" t="s">
        <v>335</v>
      </c>
      <c r="C85" s="10">
        <v>0</v>
      </c>
      <c r="D85" s="10">
        <v>0</v>
      </c>
      <c r="E85" s="10">
        <v>0</v>
      </c>
      <c r="F85" s="10">
        <v>0</v>
      </c>
    </row>
    <row r="86" spans="1:6">
      <c r="A86" s="25">
        <v>46169</v>
      </c>
      <c r="B86" s="9" t="s">
        <v>336</v>
      </c>
      <c r="C86" s="10">
        <v>0</v>
      </c>
      <c r="D86" s="10">
        <v>0</v>
      </c>
      <c r="E86" s="10">
        <v>0</v>
      </c>
      <c r="F86" s="10">
        <v>0</v>
      </c>
    </row>
    <row r="87" spans="1:6">
      <c r="A87" s="25">
        <v>46169</v>
      </c>
      <c r="B87" s="9" t="s">
        <v>337</v>
      </c>
      <c r="C87" s="10">
        <v>0</v>
      </c>
      <c r="D87" s="10">
        <v>0</v>
      </c>
      <c r="E87" s="10">
        <v>0</v>
      </c>
      <c r="F87" s="10">
        <v>0</v>
      </c>
    </row>
    <row r="88" spans="1:6">
      <c r="A88" s="25">
        <v>46169</v>
      </c>
      <c r="B88" s="9" t="s">
        <v>338</v>
      </c>
      <c r="C88" s="10">
        <v>0</v>
      </c>
      <c r="D88" s="10">
        <v>0</v>
      </c>
      <c r="E88" s="10">
        <v>0</v>
      </c>
      <c r="F88" s="10">
        <v>0</v>
      </c>
    </row>
    <row r="89" spans="1:6">
      <c r="A89" s="25">
        <v>46169</v>
      </c>
      <c r="B89" s="9" t="s">
        <v>339</v>
      </c>
      <c r="C89" s="10">
        <v>0</v>
      </c>
      <c r="D89" s="10">
        <v>0</v>
      </c>
      <c r="E89" s="10">
        <v>0</v>
      </c>
      <c r="F89" s="10">
        <v>0</v>
      </c>
    </row>
    <row r="90" spans="1:6">
      <c r="A90" s="25">
        <v>46169</v>
      </c>
      <c r="B90" s="9" t="s">
        <v>340</v>
      </c>
      <c r="C90" s="10">
        <v>0</v>
      </c>
      <c r="D90" s="10">
        <v>0</v>
      </c>
      <c r="E90" s="10">
        <v>0</v>
      </c>
      <c r="F90" s="10">
        <v>0</v>
      </c>
    </row>
    <row r="91" spans="1:6">
      <c r="A91" s="25">
        <v>46169</v>
      </c>
      <c r="B91" s="9" t="s">
        <v>341</v>
      </c>
      <c r="C91" s="10">
        <v>0</v>
      </c>
      <c r="D91" s="10">
        <v>0</v>
      </c>
      <c r="E91" s="10">
        <v>0</v>
      </c>
      <c r="F91" s="10">
        <v>0</v>
      </c>
    </row>
    <row r="92" spans="1:6">
      <c r="A92" s="25">
        <v>46169</v>
      </c>
      <c r="B92" s="9" t="s">
        <v>342</v>
      </c>
      <c r="C92" s="10">
        <v>0</v>
      </c>
      <c r="D92" s="10">
        <v>0</v>
      </c>
      <c r="E92" s="10">
        <v>0</v>
      </c>
      <c r="F92" s="10">
        <v>0</v>
      </c>
    </row>
    <row r="93" spans="1:6">
      <c r="A93" s="25">
        <v>46169</v>
      </c>
      <c r="B93" s="9" t="s">
        <v>343</v>
      </c>
      <c r="C93" s="10">
        <v>0</v>
      </c>
      <c r="D93" s="10">
        <v>0</v>
      </c>
      <c r="E93" s="10">
        <v>0</v>
      </c>
      <c r="F93" s="10">
        <v>0</v>
      </c>
    </row>
    <row r="94" spans="1:6">
      <c r="A94" s="25">
        <v>46169</v>
      </c>
      <c r="B94" s="9" t="s">
        <v>344</v>
      </c>
      <c r="C94" s="10">
        <v>0</v>
      </c>
      <c r="D94" s="10">
        <v>0</v>
      </c>
      <c r="E94" s="10">
        <v>0</v>
      </c>
      <c r="F94" s="10">
        <v>0</v>
      </c>
    </row>
    <row r="95" spans="1:6">
      <c r="A95" s="25">
        <v>46169</v>
      </c>
      <c r="B95" s="9" t="s">
        <v>345</v>
      </c>
      <c r="C95" s="10">
        <v>0</v>
      </c>
      <c r="D95" s="10">
        <v>0</v>
      </c>
      <c r="E95" s="10">
        <v>0</v>
      </c>
      <c r="F95" s="10"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3" sqref="A3:A14"/>
    </sheetView>
  </sheetViews>
  <sheetFormatPr defaultColWidth="9" defaultRowHeight="15" outlineLevelCol="4"/>
  <cols>
    <col min="1" max="1" width="11" customWidth="1"/>
    <col min="2" max="2" width="15.8571428571429" customWidth="1"/>
    <col min="3" max="3" width="15" customWidth="1"/>
    <col min="4" max="4" width="13.1428571428571" customWidth="1"/>
    <col min="5" max="5" width="15.1428571428571" customWidth="1"/>
  </cols>
  <sheetData>
    <row r="1" ht="18" customHeight="1" spans="1:5">
      <c r="A1" s="22">
        <f ca="1">TODAY()-1</f>
        <v>46169</v>
      </c>
      <c r="C1">
        <f ca="1">SUMIF(A3:A14,A1,C3:C14)</f>
        <v>197</v>
      </c>
      <c r="D1">
        <f ca="1">SUMIF(A3:A14,A1,D3:D14)</f>
        <v>185</v>
      </c>
      <c r="E1">
        <f ca="1">SUMIF(A3:A14,A1,E3:E14)</f>
        <v>12</v>
      </c>
    </row>
    <row r="2" spans="1:5">
      <c r="A2" s="23" t="s">
        <v>149</v>
      </c>
      <c r="B2" s="23" t="s">
        <v>150</v>
      </c>
      <c r="C2" s="23" t="s">
        <v>346</v>
      </c>
      <c r="D2" s="23" t="s">
        <v>347</v>
      </c>
      <c r="E2" s="24" t="s">
        <v>348</v>
      </c>
    </row>
    <row r="3" spans="1:5">
      <c r="A3" s="25">
        <v>46169</v>
      </c>
      <c r="B3" s="16" t="s">
        <v>349</v>
      </c>
      <c r="C3" s="9">
        <v>30</v>
      </c>
      <c r="D3" s="9">
        <v>28</v>
      </c>
      <c r="E3" s="26">
        <f>IFERROR(tbl_raw_manpower[[#This Row],[Target Headcount]]-tbl_raw_manpower[[#This Row],[Present]],"-")</f>
        <v>2</v>
      </c>
    </row>
    <row r="4" spans="1:5">
      <c r="A4" s="25">
        <v>46169</v>
      </c>
      <c r="B4" s="16" t="s">
        <v>350</v>
      </c>
      <c r="C4" s="9">
        <v>80</v>
      </c>
      <c r="D4" s="9">
        <v>78</v>
      </c>
      <c r="E4" s="26">
        <f>IFERROR(tbl_raw_manpower[[#This Row],[Target Headcount]]-tbl_raw_manpower[[#This Row],[Present]],"-")</f>
        <v>2</v>
      </c>
    </row>
    <row r="5" spans="1:5">
      <c r="A5" s="25">
        <v>46169</v>
      </c>
      <c r="B5" s="16" t="s">
        <v>351</v>
      </c>
      <c r="C5" s="9">
        <v>40</v>
      </c>
      <c r="D5" s="9">
        <v>38</v>
      </c>
      <c r="E5" s="26">
        <f>IFERROR(tbl_raw_manpower[[#This Row],[Target Headcount]]-tbl_raw_manpower[[#This Row],[Present]],"-")</f>
        <v>2</v>
      </c>
    </row>
    <row r="6" spans="1:5">
      <c r="A6" s="25">
        <v>46169</v>
      </c>
      <c r="B6" s="16" t="s">
        <v>352</v>
      </c>
      <c r="C6" s="9">
        <v>10</v>
      </c>
      <c r="D6" s="9">
        <v>8</v>
      </c>
      <c r="E6" s="26">
        <f>IFERROR(tbl_raw_manpower[[#This Row],[Target Headcount]]-tbl_raw_manpower[[#This Row],[Present]],"-")</f>
        <v>2</v>
      </c>
    </row>
    <row r="7" spans="1:5">
      <c r="A7" s="25">
        <v>46169</v>
      </c>
      <c r="B7" s="16" t="s">
        <v>353</v>
      </c>
      <c r="C7" s="9">
        <v>7</v>
      </c>
      <c r="D7" s="9">
        <v>6</v>
      </c>
      <c r="E7" s="26">
        <f>IFERROR(tbl_raw_manpower[[#This Row],[Target Headcount]]-tbl_raw_manpower[[#This Row],[Present]],"-")</f>
        <v>1</v>
      </c>
    </row>
    <row r="8" spans="1:5">
      <c r="A8" s="25">
        <v>46169</v>
      </c>
      <c r="B8" s="16" t="s">
        <v>354</v>
      </c>
      <c r="C8" s="9">
        <v>30</v>
      </c>
      <c r="D8" s="9">
        <v>27</v>
      </c>
      <c r="E8" s="26">
        <f>IFERROR(tbl_raw_manpower[[#This Row],[Target Headcount]]-tbl_raw_manpower[[#This Row],[Present]],"-")</f>
        <v>3</v>
      </c>
    </row>
    <row r="9" spans="1:5">
      <c r="A9" s="25">
        <v>46169</v>
      </c>
      <c r="B9" s="9"/>
      <c r="C9" s="9"/>
      <c r="D9" s="9"/>
      <c r="E9" s="26">
        <f>IFERROR(tbl_raw_manpower[[#This Row],[Target Headcount]]-tbl_raw_manpower[[#This Row],[Present]],"-")</f>
        <v>0</v>
      </c>
    </row>
    <row r="10" spans="1:5">
      <c r="A10" s="25">
        <v>46169</v>
      </c>
      <c r="B10" s="9"/>
      <c r="C10" s="9"/>
      <c r="D10" s="9"/>
      <c r="E10" s="26">
        <f>IFERROR(tbl_raw_manpower[[#This Row],[Target Headcount]]-tbl_raw_manpower[[#This Row],[Present]],"-")</f>
        <v>0</v>
      </c>
    </row>
    <row r="11" spans="1:5">
      <c r="A11" s="25">
        <v>46169</v>
      </c>
      <c r="B11" s="9"/>
      <c r="C11" s="9"/>
      <c r="D11" s="9"/>
      <c r="E11" s="26">
        <f>IFERROR(tbl_raw_manpower[[#This Row],[Target Headcount]]-tbl_raw_manpower[[#This Row],[Present]],"-")</f>
        <v>0</v>
      </c>
    </row>
    <row r="12" spans="1:5">
      <c r="A12" s="25">
        <v>46169</v>
      </c>
      <c r="B12" s="9"/>
      <c r="C12" s="9"/>
      <c r="D12" s="9"/>
      <c r="E12" s="26">
        <f>IFERROR(tbl_raw_manpower[[#This Row],[Target Headcount]]-tbl_raw_manpower[[#This Row],[Present]],"-")</f>
        <v>0</v>
      </c>
    </row>
    <row r="13" spans="1:5">
      <c r="A13" s="25">
        <v>46169</v>
      </c>
      <c r="B13" s="9"/>
      <c r="C13" s="9"/>
      <c r="D13" s="9"/>
      <c r="E13" s="26">
        <f>IFERROR(tbl_raw_manpower[[#This Row],[Target Headcount]]-tbl_raw_manpower[[#This Row],[Present]],"-")</f>
        <v>0</v>
      </c>
    </row>
    <row r="14" spans="1:5">
      <c r="A14" s="25">
        <v>46169</v>
      </c>
      <c r="B14" s="9"/>
      <c r="C14" s="9"/>
      <c r="D14" s="9"/>
      <c r="E14" s="26">
        <f>IFERROR(tbl_raw_manpower[[#This Row],[Target Headcount]]-tbl_raw_manpower[[#This Row],[Present]],"-")</f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opLeftCell="A22" workbookViewId="0">
      <selection activeCell="C33" sqref="C33"/>
    </sheetView>
  </sheetViews>
  <sheetFormatPr defaultColWidth="9.14285714285714" defaultRowHeight="15" outlineLevelCol="5"/>
  <cols>
    <col min="1" max="1" width="20.7142857142857" customWidth="1"/>
    <col min="2" max="2" width="11" customWidth="1"/>
    <col min="6" max="6" width="12.8571428571429"/>
  </cols>
  <sheetData>
    <row r="1" spans="1:6">
      <c r="A1" s="7"/>
    </row>
    <row r="4" spans="1:6">
      <c r="A4" s="8" t="s">
        <v>355</v>
      </c>
      <c r="B4" s="9"/>
    </row>
    <row r="5" spans="1:6">
      <c r="A5" s="9" t="s">
        <v>356</v>
      </c>
      <c r="B5" s="10">
        <f ca="1">Production!E1</f>
        <v>30540.3961</v>
      </c>
    </row>
    <row r="6" spans="1:6">
      <c r="A6" s="9" t="s">
        <v>357</v>
      </c>
      <c r="B6" s="10">
        <v>42000</v>
      </c>
      <c r="F6" s="11"/>
    </row>
    <row r="7" spans="1:6">
      <c r="A7" s="9" t="s">
        <v>154</v>
      </c>
      <c r="B7" s="12">
        <f ca="1">-(B5-B6)/B6</f>
        <v>0.272847711904762</v>
      </c>
    </row>
    <row r="8" spans="1:6">
      <c r="A8" s="8" t="s">
        <v>236</v>
      </c>
      <c r="B8" s="13"/>
    </row>
    <row r="9" spans="1:6">
      <c r="A9" s="9" t="s">
        <v>356</v>
      </c>
      <c r="B9" s="10">
        <f ca="1">'Production vs Sales'!G1</f>
        <v>16388.3704</v>
      </c>
    </row>
    <row r="10" spans="1:6">
      <c r="A10" s="9" t="s">
        <v>357</v>
      </c>
      <c r="B10" s="10">
        <f>'Production vs Sales'!M1</f>
        <v>30000</v>
      </c>
    </row>
    <row r="11" spans="1:6">
      <c r="A11" s="9" t="s">
        <v>154</v>
      </c>
      <c r="B11" s="12">
        <f ca="1">-(B9-B10)/B10</f>
        <v>0.453720986666667</v>
      </c>
    </row>
    <row r="12" spans="1:6">
      <c r="A12" s="14" t="s">
        <v>358</v>
      </c>
      <c r="B12" s="12">
        <f ca="1">IFERROR(B5/B6,"-")</f>
        <v>0.727152288095238</v>
      </c>
    </row>
    <row r="13" spans="1:6">
      <c r="A13" s="9" t="s">
        <v>359</v>
      </c>
      <c r="B13" s="12">
        <v>1</v>
      </c>
    </row>
    <row r="14" spans="1:6">
      <c r="A14" s="9" t="s">
        <v>154</v>
      </c>
      <c r="B14" s="12">
        <f ca="1">-(B12-B13)/B13</f>
        <v>0.272847711904762</v>
      </c>
    </row>
    <row r="15" spans="1:6">
      <c r="A15" s="8" t="s">
        <v>360</v>
      </c>
      <c r="B15" s="15">
        <f ca="1">Downtime!D1</f>
        <v>44.08</v>
      </c>
    </row>
    <row r="16" spans="1:6">
      <c r="A16" s="9" t="s">
        <v>361</v>
      </c>
      <c r="B16" s="15">
        <f>Downtime!M6</f>
        <v>254.4</v>
      </c>
    </row>
    <row r="17" spans="1:2">
      <c r="A17" s="9" t="s">
        <v>154</v>
      </c>
      <c r="B17" s="12">
        <f ca="1">B15/B16</f>
        <v>0.173270440251572</v>
      </c>
    </row>
    <row r="18" spans="1:2">
      <c r="A18" s="9" t="s">
        <v>362</v>
      </c>
      <c r="B18" s="10">
        <f ca="1">'Raw Materials'!F1</f>
        <v>714198.88</v>
      </c>
    </row>
    <row r="19" spans="1:2">
      <c r="A19" s="9" t="s">
        <v>363</v>
      </c>
      <c r="B19" s="10">
        <f ca="1">'Raw Materials'!D1</f>
        <v>214378</v>
      </c>
    </row>
    <row r="20" spans="1:2">
      <c r="A20" s="9" t="s">
        <v>364</v>
      </c>
      <c r="B20" s="10">
        <f ca="1">'Raw Materials'!E1</f>
        <v>373629.5</v>
      </c>
    </row>
    <row r="21" spans="1:2">
      <c r="A21" s="14" t="s">
        <v>365</v>
      </c>
      <c r="B21" s="10">
        <v>30867</v>
      </c>
    </row>
    <row r="22" spans="1:2">
      <c r="A22" s="16" t="s">
        <v>357</v>
      </c>
      <c r="B22" s="10">
        <v>35000</v>
      </c>
    </row>
    <row r="23" spans="1:2">
      <c r="A23" s="16" t="s">
        <v>366</v>
      </c>
      <c r="B23" s="10">
        <f ca="1">'FG Store'!F1</f>
        <v>389028.68096</v>
      </c>
    </row>
    <row r="24" spans="1:2">
      <c r="A24" s="16" t="s">
        <v>154</v>
      </c>
      <c r="B24" s="12">
        <f>-(B21-B22)/B22</f>
        <v>0.118085714285714</v>
      </c>
    </row>
    <row r="25" spans="1:2">
      <c r="A25" s="16" t="s">
        <v>367</v>
      </c>
      <c r="B25" s="10">
        <v>34278</v>
      </c>
    </row>
    <row r="26" spans="1:2">
      <c r="A26" s="16" t="s">
        <v>357</v>
      </c>
      <c r="B26" s="10">
        <v>1</v>
      </c>
    </row>
    <row r="27" spans="1:2">
      <c r="A27" s="16" t="s">
        <v>368</v>
      </c>
      <c r="B27" s="17">
        <v>1.35</v>
      </c>
    </row>
    <row r="28" spans="1:2">
      <c r="A28" s="16" t="s">
        <v>154</v>
      </c>
      <c r="B28" s="12">
        <f>(B27-B26)/B26</f>
        <v>0.35</v>
      </c>
    </row>
    <row r="29" spans="1:2">
      <c r="A29" s="16" t="s">
        <v>369</v>
      </c>
      <c r="B29" s="18">
        <f>B21</f>
        <v>30867</v>
      </c>
    </row>
    <row r="30" spans="1:2">
      <c r="A30" s="9" t="s">
        <v>370</v>
      </c>
      <c r="B30" s="19">
        <v>25737</v>
      </c>
    </row>
    <row r="31" spans="1:2">
      <c r="A31" s="9" t="s">
        <v>363</v>
      </c>
      <c r="B31" s="20">
        <v>740</v>
      </c>
    </row>
    <row r="32" spans="1:2">
      <c r="A32" s="9" t="s">
        <v>364</v>
      </c>
      <c r="B32" s="20">
        <v>315</v>
      </c>
    </row>
    <row r="33" spans="1:2">
      <c r="A33" s="9" t="s">
        <v>371</v>
      </c>
      <c r="B33" s="20">
        <f>IFERROR(B30+B31-B32,"-")</f>
        <v>26162</v>
      </c>
    </row>
    <row r="34" spans="1:2">
      <c r="A34" s="16" t="s">
        <v>372</v>
      </c>
      <c r="B34" s="9">
        <v>248</v>
      </c>
    </row>
    <row r="35" spans="1:2">
      <c r="A35" s="16" t="s">
        <v>347</v>
      </c>
      <c r="B35" s="9">
        <v>232</v>
      </c>
    </row>
    <row r="36" spans="1:2">
      <c r="A36" s="16" t="s">
        <v>348</v>
      </c>
      <c r="B36" s="9">
        <v>16</v>
      </c>
    </row>
    <row r="37" spans="1:2">
      <c r="A37" s="9" t="s">
        <v>373</v>
      </c>
      <c r="B37" s="9"/>
    </row>
    <row r="38" spans="1:2">
      <c r="A38" s="9" t="s">
        <v>374</v>
      </c>
      <c r="B38" s="10">
        <v>6000</v>
      </c>
    </row>
    <row r="39" spans="1:2">
      <c r="A39" s="9" t="s">
        <v>153</v>
      </c>
      <c r="B39" s="10">
        <v>2187</v>
      </c>
    </row>
    <row r="40" spans="1:2">
      <c r="A40" s="9" t="s">
        <v>375</v>
      </c>
      <c r="B40" s="9"/>
    </row>
    <row r="41" spans="1:2">
      <c r="A41" s="9" t="s">
        <v>374</v>
      </c>
      <c r="B41" s="10">
        <v>5000</v>
      </c>
    </row>
    <row r="42" spans="1:2">
      <c r="A42" s="9" t="s">
        <v>153</v>
      </c>
      <c r="B42" s="10">
        <v>6670</v>
      </c>
    </row>
    <row r="43" spans="1:2">
      <c r="A43" s="9" t="s">
        <v>376</v>
      </c>
      <c r="B43" s="9">
        <v>4</v>
      </c>
    </row>
    <row r="44" spans="1:2">
      <c r="A44" s="9" t="s">
        <v>377</v>
      </c>
      <c r="B44" s="21">
        <f>Machines!G21</f>
        <v>0.133333333333333</v>
      </c>
    </row>
    <row r="45" spans="1:2">
      <c r="A45" s="9" t="s">
        <v>378</v>
      </c>
      <c r="B45" s="9">
        <v>4</v>
      </c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</sheetData>
  <sheetProtection algorithmName="SHA-512" hashValue="kIQdmmkwjZllcDocQhVzckVEUvAW8VFE+ya5rnoMGb0NudKJ1T8tSKSLc2GHZ0V3I3GYUJP9Ds1yovXeBUi+fg==" saltValue="fR2jMDL8cy1p/VFMCfDoPw==" spinCount="100000" sheet="1" objects="1"/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6"/>
  <sheetViews>
    <sheetView workbookViewId="0">
      <selection activeCell="E23" sqref="E23"/>
    </sheetView>
  </sheetViews>
  <sheetFormatPr defaultColWidth="9.14285714285714" defaultRowHeight="15" outlineLevelCol="2"/>
  <cols>
    <col min="1" max="1" width="4.85714285714286" style="2" customWidth="1"/>
    <col min="2" max="2" width="59.4285714285714" customWidth="1"/>
  </cols>
  <sheetData>
    <row r="1" s="1" customFormat="1" spans="1:3">
      <c r="A1" s="3" t="s">
        <v>3</v>
      </c>
      <c r="B1" s="3" t="s">
        <v>4</v>
      </c>
      <c r="C1" s="3" t="s">
        <v>379</v>
      </c>
    </row>
    <row r="2" spans="1:3">
      <c r="A2" s="4">
        <v>1</v>
      </c>
      <c r="B2" s="5" t="s">
        <v>9</v>
      </c>
      <c r="C2" s="6">
        <v>0.3905</v>
      </c>
    </row>
    <row r="3" spans="1:3">
      <c r="A3" s="4">
        <v>2</v>
      </c>
      <c r="B3" s="5" t="s">
        <v>17</v>
      </c>
      <c r="C3" s="6">
        <v>0.232</v>
      </c>
    </row>
    <row r="4" spans="1:3">
      <c r="A4" s="4"/>
      <c r="B4" s="5" t="s">
        <v>14</v>
      </c>
      <c r="C4" s="6">
        <v>0.3685</v>
      </c>
    </row>
    <row r="5" spans="1:3">
      <c r="A5" s="4">
        <v>3</v>
      </c>
      <c r="B5" s="5" t="s">
        <v>380</v>
      </c>
      <c r="C5" s="6">
        <v>0.7368</v>
      </c>
    </row>
    <row r="6" spans="1:3">
      <c r="A6" s="4">
        <v>4</v>
      </c>
      <c r="B6" s="5" t="s">
        <v>18</v>
      </c>
      <c r="C6" s="6">
        <v>2.155</v>
      </c>
    </row>
    <row r="7" spans="1:3">
      <c r="A7" s="4">
        <v>5</v>
      </c>
      <c r="B7" s="5" t="s">
        <v>19</v>
      </c>
      <c r="C7" s="6">
        <v>3.05</v>
      </c>
    </row>
    <row r="8" spans="1:3">
      <c r="A8" s="4">
        <v>6</v>
      </c>
      <c r="B8" s="5" t="s">
        <v>11</v>
      </c>
      <c r="C8" s="6">
        <v>0.4788</v>
      </c>
    </row>
    <row r="9" spans="1:3">
      <c r="A9" s="4">
        <v>7</v>
      </c>
      <c r="B9" s="5" t="s">
        <v>13</v>
      </c>
      <c r="C9" s="6">
        <v>0.6475</v>
      </c>
    </row>
    <row r="10" spans="1:3">
      <c r="A10" s="4">
        <v>8</v>
      </c>
      <c r="B10" s="5" t="s">
        <v>381</v>
      </c>
      <c r="C10" s="6">
        <v>4.79</v>
      </c>
    </row>
    <row r="11" spans="1:3">
      <c r="A11" s="4">
        <v>9</v>
      </c>
      <c r="B11" s="5" t="s">
        <v>382</v>
      </c>
      <c r="C11" s="6">
        <v>0.993</v>
      </c>
    </row>
    <row r="12" spans="1:3">
      <c r="A12" s="4">
        <v>10</v>
      </c>
      <c r="B12" s="5" t="s">
        <v>383</v>
      </c>
      <c r="C12" s="6">
        <v>0.378</v>
      </c>
    </row>
    <row r="13" spans="1:3">
      <c r="A13" s="4">
        <v>11</v>
      </c>
      <c r="B13" s="5" t="s">
        <v>384</v>
      </c>
      <c r="C13" s="6">
        <v>0.235</v>
      </c>
    </row>
    <row r="14" spans="1:3">
      <c r="A14" s="4">
        <v>12</v>
      </c>
      <c r="B14" s="5" t="s">
        <v>385</v>
      </c>
      <c r="C14" s="6">
        <v>0.315</v>
      </c>
    </row>
    <row r="15" spans="1:3">
      <c r="A15" s="4">
        <v>13</v>
      </c>
      <c r="B15" s="5" t="s">
        <v>386</v>
      </c>
      <c r="C15" s="6">
        <v>0.22</v>
      </c>
    </row>
    <row r="16" spans="1:3">
      <c r="A16" s="4">
        <v>14</v>
      </c>
      <c r="B16" s="5" t="s">
        <v>117</v>
      </c>
      <c r="C16" s="6">
        <v>0.332</v>
      </c>
    </row>
    <row r="17" spans="1:3">
      <c r="A17" s="4">
        <v>15</v>
      </c>
      <c r="B17" s="5" t="s">
        <v>387</v>
      </c>
      <c r="C17" s="6">
        <v>0.004</v>
      </c>
    </row>
    <row r="18" spans="1:3">
      <c r="A18" s="4">
        <v>16</v>
      </c>
      <c r="B18" s="5" t="s">
        <v>388</v>
      </c>
      <c r="C18" s="6">
        <v>0.0045</v>
      </c>
    </row>
    <row r="19" spans="1:3">
      <c r="A19" s="4">
        <v>17</v>
      </c>
      <c r="B19" s="5" t="s">
        <v>389</v>
      </c>
      <c r="C19" s="6">
        <v>0.0089</v>
      </c>
    </row>
    <row r="20" spans="1:3">
      <c r="A20" s="4">
        <v>18</v>
      </c>
      <c r="B20" s="5" t="s">
        <v>390</v>
      </c>
      <c r="C20" s="6">
        <v>0.0089</v>
      </c>
    </row>
    <row r="21" spans="1:3">
      <c r="A21" s="4">
        <v>19</v>
      </c>
      <c r="B21" s="5" t="s">
        <v>104</v>
      </c>
      <c r="C21" s="6">
        <v>0.0089</v>
      </c>
    </row>
    <row r="22" spans="1:3">
      <c r="A22" s="4">
        <v>20</v>
      </c>
      <c r="B22" s="5" t="s">
        <v>391</v>
      </c>
      <c r="C22" s="6">
        <v>0.0089</v>
      </c>
    </row>
    <row r="23" spans="1:3">
      <c r="A23" s="4">
        <v>21</v>
      </c>
      <c r="B23" s="5" t="s">
        <v>392</v>
      </c>
      <c r="C23" s="6">
        <v>0.0074</v>
      </c>
    </row>
    <row r="24" spans="1:3">
      <c r="A24" s="4">
        <v>22</v>
      </c>
      <c r="B24" s="5" t="s">
        <v>393</v>
      </c>
      <c r="C24" s="6">
        <v>0.0074</v>
      </c>
    </row>
    <row r="25" spans="1:3">
      <c r="A25" s="4">
        <v>23</v>
      </c>
      <c r="B25" s="5" t="s">
        <v>113</v>
      </c>
      <c r="C25" s="6">
        <v>0.0638</v>
      </c>
    </row>
    <row r="26" spans="1:3">
      <c r="A26" s="4">
        <v>24</v>
      </c>
      <c r="B26" s="5" t="s">
        <v>102</v>
      </c>
      <c r="C26" s="6">
        <v>0.0016</v>
      </c>
    </row>
    <row r="27" spans="1:3">
      <c r="A27" s="4">
        <v>25</v>
      </c>
      <c r="B27" s="5" t="s">
        <v>101</v>
      </c>
      <c r="C27" s="6">
        <v>0.0012</v>
      </c>
    </row>
    <row r="28" spans="1:3">
      <c r="A28" s="4">
        <v>26</v>
      </c>
      <c r="B28" s="5" t="s">
        <v>394</v>
      </c>
      <c r="C28" s="6">
        <v>0.0016</v>
      </c>
    </row>
    <row r="29" spans="1:3">
      <c r="A29" s="4">
        <v>27</v>
      </c>
      <c r="B29" s="5" t="s">
        <v>395</v>
      </c>
      <c r="C29" s="6">
        <v>0.0045</v>
      </c>
    </row>
    <row r="30" spans="1:3">
      <c r="A30" s="4">
        <v>28</v>
      </c>
      <c r="B30" s="5" t="s">
        <v>109</v>
      </c>
      <c r="C30" s="6">
        <v>0.019</v>
      </c>
    </row>
    <row r="31" spans="1:3">
      <c r="A31" s="4">
        <v>29</v>
      </c>
      <c r="B31" s="5" t="s">
        <v>396</v>
      </c>
      <c r="C31" s="6">
        <v>0.0074</v>
      </c>
    </row>
    <row r="32" spans="1:3">
      <c r="A32" s="4">
        <v>30</v>
      </c>
      <c r="B32" s="5" t="s">
        <v>397</v>
      </c>
      <c r="C32" s="6">
        <v>0.365</v>
      </c>
    </row>
    <row r="33" spans="1:3">
      <c r="A33" s="4">
        <v>31</v>
      </c>
      <c r="B33" s="5" t="s">
        <v>398</v>
      </c>
      <c r="C33" s="6">
        <v>0.075</v>
      </c>
    </row>
    <row r="34" spans="1:3">
      <c r="A34" s="4">
        <v>32</v>
      </c>
      <c r="B34" s="5" t="s">
        <v>116</v>
      </c>
      <c r="C34" s="6">
        <v>0.045</v>
      </c>
    </row>
    <row r="35" spans="1:3">
      <c r="A35" s="4">
        <v>33</v>
      </c>
      <c r="B35" s="5" t="s">
        <v>81</v>
      </c>
      <c r="C35" s="6">
        <v>0.692</v>
      </c>
    </row>
    <row r="36" spans="1:3">
      <c r="A36" s="4">
        <v>34</v>
      </c>
      <c r="B36" s="5" t="s">
        <v>399</v>
      </c>
      <c r="C36" s="6">
        <v>0.225</v>
      </c>
    </row>
    <row r="37" spans="1:3">
      <c r="A37" s="4">
        <v>35</v>
      </c>
      <c r="B37" s="5" t="s">
        <v>84</v>
      </c>
      <c r="C37" s="6">
        <v>0.225</v>
      </c>
    </row>
    <row r="38" spans="1:3">
      <c r="A38" s="4">
        <v>36</v>
      </c>
      <c r="B38" s="5" t="s">
        <v>400</v>
      </c>
      <c r="C38" s="6">
        <v>0.173</v>
      </c>
    </row>
    <row r="39" spans="1:3">
      <c r="A39" s="4">
        <v>37</v>
      </c>
      <c r="B39" s="5" t="s">
        <v>110</v>
      </c>
      <c r="C39" s="6">
        <v>0.008</v>
      </c>
    </row>
    <row r="40" spans="1:3">
      <c r="A40" s="4">
        <v>38</v>
      </c>
      <c r="B40" s="5" t="s">
        <v>51</v>
      </c>
      <c r="C40" s="6">
        <v>3.1</v>
      </c>
    </row>
    <row r="41" spans="1:3">
      <c r="A41" s="4">
        <v>39</v>
      </c>
      <c r="B41" s="5" t="s">
        <v>50</v>
      </c>
      <c r="C41" s="6">
        <v>3.865</v>
      </c>
    </row>
    <row r="42" spans="1:3">
      <c r="A42" s="4">
        <v>40</v>
      </c>
      <c r="B42" s="5" t="s">
        <v>56</v>
      </c>
      <c r="C42" s="6">
        <v>0.305</v>
      </c>
    </row>
    <row r="43" spans="1:3">
      <c r="A43" s="4">
        <v>41</v>
      </c>
      <c r="B43" s="5" t="s">
        <v>60</v>
      </c>
      <c r="C43" s="6">
        <v>3.55</v>
      </c>
    </row>
    <row r="44" spans="1:3">
      <c r="A44" s="4">
        <v>42</v>
      </c>
      <c r="B44" s="5" t="s">
        <v>49</v>
      </c>
      <c r="C44" s="6">
        <v>4.5244</v>
      </c>
    </row>
    <row r="45" spans="1:3">
      <c r="A45" s="4">
        <v>43</v>
      </c>
      <c r="B45" s="5" t="s">
        <v>48</v>
      </c>
      <c r="C45" s="6">
        <v>5.707</v>
      </c>
    </row>
    <row r="46" spans="1:3">
      <c r="A46" s="4">
        <v>44</v>
      </c>
      <c r="B46" s="5" t="s">
        <v>54</v>
      </c>
      <c r="C46" s="6">
        <v>1.28</v>
      </c>
    </row>
    <row r="47" spans="1:3">
      <c r="A47" s="4">
        <v>45</v>
      </c>
      <c r="B47" s="5" t="s">
        <v>53</v>
      </c>
      <c r="C47" s="6">
        <v>1.704</v>
      </c>
    </row>
    <row r="48" spans="1:3">
      <c r="A48" s="4">
        <v>46</v>
      </c>
      <c r="B48" s="5" t="s">
        <v>52</v>
      </c>
      <c r="C48" s="6">
        <v>2.368</v>
      </c>
    </row>
    <row r="49" spans="1:3">
      <c r="A49" s="4">
        <v>47</v>
      </c>
      <c r="B49" s="5" t="s">
        <v>401</v>
      </c>
      <c r="C49" s="6">
        <v>2.368</v>
      </c>
    </row>
    <row r="50" spans="1:3">
      <c r="A50" s="4">
        <v>48</v>
      </c>
      <c r="B50" s="5" t="s">
        <v>87</v>
      </c>
      <c r="C50" s="6">
        <v>0.582</v>
      </c>
    </row>
    <row r="51" spans="1:3">
      <c r="A51" s="4">
        <v>49</v>
      </c>
      <c r="B51" s="5" t="s">
        <v>55</v>
      </c>
      <c r="C51" s="6">
        <v>0.93</v>
      </c>
    </row>
    <row r="52" spans="1:3">
      <c r="A52" s="4">
        <v>50</v>
      </c>
      <c r="B52" s="5" t="s">
        <v>58</v>
      </c>
      <c r="C52" s="6">
        <v>2.4</v>
      </c>
    </row>
    <row r="53" spans="1:3">
      <c r="A53" s="4">
        <v>51</v>
      </c>
      <c r="B53" s="5" t="s">
        <v>61</v>
      </c>
      <c r="C53" s="6">
        <v>0.735</v>
      </c>
    </row>
    <row r="54" spans="1:3">
      <c r="A54" s="4">
        <v>52</v>
      </c>
      <c r="B54" s="5" t="s">
        <v>402</v>
      </c>
      <c r="C54" s="6">
        <v>1.275</v>
      </c>
    </row>
    <row r="55" spans="1:3">
      <c r="A55" s="4">
        <v>53</v>
      </c>
      <c r="B55" s="5" t="s">
        <v>89</v>
      </c>
      <c r="C55" s="6">
        <v>0.276</v>
      </c>
    </row>
    <row r="56" spans="1:3">
      <c r="A56" s="4">
        <v>54</v>
      </c>
      <c r="B56" s="5" t="s">
        <v>403</v>
      </c>
      <c r="C56" s="6">
        <v>0.097</v>
      </c>
    </row>
    <row r="57" spans="1:3">
      <c r="A57" s="4">
        <v>55</v>
      </c>
      <c r="B57" s="5" t="s">
        <v>404</v>
      </c>
      <c r="C57" s="6">
        <v>1.595</v>
      </c>
    </row>
    <row r="58" spans="1:3">
      <c r="A58" s="4">
        <v>56</v>
      </c>
      <c r="B58" s="5" t="s">
        <v>75</v>
      </c>
      <c r="C58" s="6">
        <v>0.224</v>
      </c>
    </row>
    <row r="59" spans="1:3">
      <c r="A59" s="4">
        <v>57</v>
      </c>
      <c r="B59" s="5" t="s">
        <v>23</v>
      </c>
      <c r="C59" s="6">
        <v>0.27</v>
      </c>
    </row>
    <row r="60" spans="1:3">
      <c r="A60" s="4">
        <v>58</v>
      </c>
      <c r="B60" s="5" t="s">
        <v>74</v>
      </c>
      <c r="C60" s="6">
        <v>0.224</v>
      </c>
    </row>
    <row r="61" spans="1:3">
      <c r="A61" s="4">
        <v>59</v>
      </c>
      <c r="B61" s="5" t="s">
        <v>72</v>
      </c>
      <c r="C61" s="6">
        <v>0.043</v>
      </c>
    </row>
    <row r="62" spans="1:3">
      <c r="A62" s="4">
        <v>60</v>
      </c>
      <c r="B62" s="5" t="s">
        <v>405</v>
      </c>
      <c r="C62" s="6">
        <v>0.0031</v>
      </c>
    </row>
    <row r="63" spans="1:3">
      <c r="A63" s="4">
        <v>61</v>
      </c>
      <c r="B63" s="5" t="s">
        <v>406</v>
      </c>
      <c r="C63" s="6">
        <v>0.05</v>
      </c>
    </row>
    <row r="64" spans="1:3">
      <c r="A64" s="4">
        <v>62</v>
      </c>
      <c r="B64" s="5" t="s">
        <v>407</v>
      </c>
      <c r="C64" s="6">
        <v>0.165</v>
      </c>
    </row>
    <row r="65" spans="1:3">
      <c r="A65" s="4">
        <v>63</v>
      </c>
      <c r="B65" s="5" t="s">
        <v>76</v>
      </c>
      <c r="C65" s="6">
        <v>0.246</v>
      </c>
    </row>
    <row r="66" spans="1:3">
      <c r="A66" s="4">
        <v>64</v>
      </c>
      <c r="B66" s="5" t="s">
        <v>408</v>
      </c>
      <c r="C66" s="6">
        <v>1.262</v>
      </c>
    </row>
    <row r="67" spans="1:3">
      <c r="A67" s="4">
        <v>65</v>
      </c>
      <c r="B67" s="5" t="s">
        <v>409</v>
      </c>
      <c r="C67" s="6">
        <v>0.028</v>
      </c>
    </row>
    <row r="68" spans="1:3">
      <c r="A68" s="4">
        <v>66</v>
      </c>
      <c r="B68" s="5" t="s">
        <v>410</v>
      </c>
      <c r="C68" s="6">
        <v>0.1888</v>
      </c>
    </row>
    <row r="69" spans="1:3">
      <c r="A69" s="4">
        <v>67</v>
      </c>
      <c r="B69" s="5" t="s">
        <v>70</v>
      </c>
      <c r="C69" s="6">
        <v>1.54</v>
      </c>
    </row>
    <row r="70" spans="1:3">
      <c r="A70" s="4">
        <v>68</v>
      </c>
      <c r="B70" s="5" t="s">
        <v>411</v>
      </c>
      <c r="C70" s="6">
        <v>0.087</v>
      </c>
    </row>
    <row r="71" spans="1:3">
      <c r="A71" s="4">
        <v>69</v>
      </c>
      <c r="B71" s="5" t="s">
        <v>28</v>
      </c>
      <c r="C71" s="6">
        <v>0.806</v>
      </c>
    </row>
    <row r="72" spans="1:3">
      <c r="A72" s="4">
        <v>70</v>
      </c>
      <c r="B72" s="5" t="s">
        <v>29</v>
      </c>
      <c r="C72" s="6">
        <v>0.424</v>
      </c>
    </row>
    <row r="73" spans="1:3">
      <c r="A73" s="4">
        <v>71</v>
      </c>
      <c r="B73" s="5" t="s">
        <v>30</v>
      </c>
      <c r="C73" s="6">
        <v>0.2565</v>
      </c>
    </row>
    <row r="74" spans="1:3">
      <c r="A74" s="4">
        <v>72</v>
      </c>
      <c r="B74" s="5" t="s">
        <v>118</v>
      </c>
      <c r="C74" s="6">
        <v>0.024</v>
      </c>
    </row>
    <row r="75" spans="1:3">
      <c r="A75" s="4">
        <v>73</v>
      </c>
      <c r="B75" s="5" t="s">
        <v>412</v>
      </c>
      <c r="C75" s="6">
        <v>0.024</v>
      </c>
    </row>
    <row r="76" spans="1:3">
      <c r="A76" s="4">
        <v>74</v>
      </c>
      <c r="B76" s="5" t="s">
        <v>413</v>
      </c>
      <c r="C76" s="6">
        <v>0.322</v>
      </c>
    </row>
    <row r="77" spans="1:3">
      <c r="A77" s="4">
        <v>75</v>
      </c>
      <c r="B77" s="5" t="s">
        <v>414</v>
      </c>
      <c r="C77" s="6">
        <v>0.365</v>
      </c>
    </row>
    <row r="78" spans="1:3">
      <c r="A78" s="4">
        <v>76</v>
      </c>
      <c r="B78" s="5" t="s">
        <v>415</v>
      </c>
      <c r="C78" s="6">
        <v>0.1975</v>
      </c>
    </row>
    <row r="79" spans="1:3">
      <c r="A79" s="4">
        <v>77</v>
      </c>
      <c r="B79" s="5" t="s">
        <v>416</v>
      </c>
      <c r="C79" s="6">
        <v>0.265</v>
      </c>
    </row>
    <row r="80" spans="1:3">
      <c r="A80" s="4">
        <v>78</v>
      </c>
      <c r="B80" s="5" t="s">
        <v>85</v>
      </c>
      <c r="C80" s="6">
        <v>0.445</v>
      </c>
    </row>
    <row r="81" spans="1:3">
      <c r="A81" s="4">
        <v>79</v>
      </c>
      <c r="B81" s="5" t="s">
        <v>417</v>
      </c>
      <c r="C81" s="6">
        <v>0.031</v>
      </c>
    </row>
    <row r="82" spans="1:3">
      <c r="A82" s="4">
        <v>80</v>
      </c>
      <c r="B82" s="5" t="s">
        <v>20</v>
      </c>
      <c r="C82" s="6">
        <v>1.35</v>
      </c>
    </row>
    <row r="83" spans="1:3">
      <c r="A83" s="4">
        <v>81</v>
      </c>
      <c r="B83" s="5" t="s">
        <v>21</v>
      </c>
      <c r="C83" s="6">
        <v>0.88</v>
      </c>
    </row>
    <row r="84" spans="1:3">
      <c r="A84" s="4">
        <v>82</v>
      </c>
      <c r="B84" s="5" t="s">
        <v>22</v>
      </c>
      <c r="C84" s="6">
        <v>0.58</v>
      </c>
    </row>
    <row r="85" spans="1:3">
      <c r="A85" s="4">
        <v>83</v>
      </c>
      <c r="B85" s="5" t="s">
        <v>418</v>
      </c>
      <c r="C85" s="6">
        <v>1.5</v>
      </c>
    </row>
    <row r="86" spans="1:3">
      <c r="A86" s="4">
        <v>84</v>
      </c>
      <c r="B86" s="5" t="s">
        <v>25</v>
      </c>
      <c r="C86" s="6">
        <v>1.5</v>
      </c>
    </row>
    <row r="87" spans="1:3">
      <c r="A87" s="4">
        <v>85</v>
      </c>
      <c r="B87" s="5" t="s">
        <v>26</v>
      </c>
      <c r="C87" s="6">
        <v>0.904</v>
      </c>
    </row>
    <row r="88" spans="1:3">
      <c r="A88" s="4">
        <v>86</v>
      </c>
      <c r="B88" s="5" t="s">
        <v>27</v>
      </c>
      <c r="C88" s="6">
        <v>0.409</v>
      </c>
    </row>
    <row r="89" spans="1:3">
      <c r="A89" s="4">
        <v>87</v>
      </c>
      <c r="B89" s="5" t="s">
        <v>57</v>
      </c>
      <c r="C89" s="6">
        <v>0.173</v>
      </c>
    </row>
    <row r="90" spans="1:3">
      <c r="A90" s="4">
        <v>88</v>
      </c>
      <c r="B90" s="5" t="s">
        <v>24</v>
      </c>
      <c r="C90" s="6">
        <v>0.385</v>
      </c>
    </row>
    <row r="91" spans="1:3">
      <c r="A91" s="4">
        <v>89</v>
      </c>
      <c r="B91" s="5" t="s">
        <v>419</v>
      </c>
      <c r="C91" s="6">
        <v>0.1</v>
      </c>
    </row>
    <row r="92" spans="1:3">
      <c r="A92" s="4">
        <v>90</v>
      </c>
      <c r="B92" s="5" t="s">
        <v>86</v>
      </c>
      <c r="C92" s="6">
        <v>0.1022</v>
      </c>
    </row>
    <row r="93" spans="1:3">
      <c r="A93" s="4">
        <v>91</v>
      </c>
      <c r="B93" s="5" t="s">
        <v>88</v>
      </c>
      <c r="C93" s="6">
        <v>0.378</v>
      </c>
    </row>
    <row r="94" spans="1:3">
      <c r="A94" s="4">
        <v>92</v>
      </c>
      <c r="B94" s="5" t="s">
        <v>92</v>
      </c>
      <c r="C94" s="6">
        <v>0.378</v>
      </c>
    </row>
    <row r="95" spans="1:3">
      <c r="A95" s="4">
        <v>93</v>
      </c>
      <c r="B95" s="5" t="s">
        <v>91</v>
      </c>
      <c r="C95" s="6">
        <v>0.09</v>
      </c>
    </row>
    <row r="96" spans="1:3">
      <c r="A96" s="4">
        <v>94</v>
      </c>
      <c r="B96" s="5" t="s">
        <v>95</v>
      </c>
      <c r="C96" s="6">
        <v>0.09</v>
      </c>
    </row>
    <row r="97" spans="1:3">
      <c r="A97" s="4">
        <v>95</v>
      </c>
      <c r="B97" s="5" t="s">
        <v>90</v>
      </c>
      <c r="C97" s="6">
        <v>0.183</v>
      </c>
    </row>
    <row r="98" spans="1:3">
      <c r="A98" s="4">
        <v>96</v>
      </c>
      <c r="B98" s="5" t="s">
        <v>94</v>
      </c>
      <c r="C98" s="6">
        <v>0.183</v>
      </c>
    </row>
    <row r="99" spans="1:3">
      <c r="A99" s="4">
        <v>97</v>
      </c>
      <c r="B99" s="5" t="s">
        <v>93</v>
      </c>
      <c r="C99" s="6">
        <v>0.278</v>
      </c>
    </row>
    <row r="100" spans="1:3">
      <c r="A100" s="4">
        <v>98</v>
      </c>
      <c r="B100" s="5" t="s">
        <v>42</v>
      </c>
      <c r="C100" s="6">
        <v>2.665</v>
      </c>
    </row>
    <row r="101" spans="1:3">
      <c r="A101" s="4">
        <v>99</v>
      </c>
      <c r="B101" s="5" t="s">
        <v>43</v>
      </c>
      <c r="C101" s="6">
        <v>3.9834</v>
      </c>
    </row>
    <row r="102" spans="1:3">
      <c r="A102" s="4">
        <v>100</v>
      </c>
      <c r="B102" s="5" t="s">
        <v>44</v>
      </c>
      <c r="C102" s="6">
        <v>4.8965</v>
      </c>
    </row>
    <row r="103" spans="1:3">
      <c r="A103" s="4">
        <v>101</v>
      </c>
      <c r="B103" s="5" t="s">
        <v>420</v>
      </c>
      <c r="C103" s="6">
        <v>6.7246</v>
      </c>
    </row>
    <row r="104" spans="1:3">
      <c r="A104" s="4">
        <v>102</v>
      </c>
      <c r="B104" s="5" t="s">
        <v>78</v>
      </c>
      <c r="C104" s="6">
        <v>0.0222</v>
      </c>
    </row>
    <row r="105" spans="1:3">
      <c r="A105" s="4">
        <v>103</v>
      </c>
      <c r="B105" s="5" t="s">
        <v>45</v>
      </c>
      <c r="C105" s="6">
        <v>0.898</v>
      </c>
    </row>
    <row r="106" spans="1:3">
      <c r="A106" s="4">
        <v>104</v>
      </c>
      <c r="B106" s="5" t="s">
        <v>46</v>
      </c>
      <c r="C106" s="6">
        <v>2.3079</v>
      </c>
    </row>
    <row r="107" spans="1:3">
      <c r="A107" s="4">
        <v>105</v>
      </c>
      <c r="B107" s="5" t="s">
        <v>59</v>
      </c>
      <c r="C107" s="6">
        <v>0.383</v>
      </c>
    </row>
    <row r="108" spans="1:3">
      <c r="A108" s="4">
        <v>106</v>
      </c>
      <c r="B108" s="5" t="s">
        <v>68</v>
      </c>
      <c r="C108" s="6">
        <v>0.05</v>
      </c>
    </row>
    <row r="109" spans="1:3">
      <c r="A109" s="4">
        <v>107</v>
      </c>
      <c r="B109" s="5" t="s">
        <v>64</v>
      </c>
      <c r="C109" s="6">
        <v>0.002</v>
      </c>
    </row>
    <row r="110" spans="1:3">
      <c r="A110" s="4">
        <v>108</v>
      </c>
      <c r="B110" s="5" t="s">
        <v>421</v>
      </c>
      <c r="C110" s="6">
        <v>0.0009</v>
      </c>
    </row>
    <row r="111" spans="1:3">
      <c r="A111" s="4">
        <v>109</v>
      </c>
      <c r="B111" s="5" t="s">
        <v>422</v>
      </c>
      <c r="C111" s="6">
        <v>1.5</v>
      </c>
    </row>
    <row r="112" spans="1:3">
      <c r="A112" s="4">
        <v>110</v>
      </c>
      <c r="B112" s="5" t="s">
        <v>423</v>
      </c>
      <c r="C112" s="6">
        <v>0.904</v>
      </c>
    </row>
    <row r="113" spans="1:3">
      <c r="A113" s="4">
        <v>111</v>
      </c>
      <c r="B113" s="5" t="s">
        <v>424</v>
      </c>
      <c r="C113" s="6">
        <v>0.409</v>
      </c>
    </row>
    <row r="114" spans="1:3">
      <c r="A114" s="4">
        <v>112</v>
      </c>
      <c r="B114" s="5" t="s">
        <v>73</v>
      </c>
      <c r="C114" s="6">
        <v>0.136</v>
      </c>
    </row>
    <row r="115" spans="1:3">
      <c r="A115" s="4">
        <v>113</v>
      </c>
      <c r="B115" s="5" t="s">
        <v>425</v>
      </c>
      <c r="C115" s="6">
        <v>0.043</v>
      </c>
    </row>
    <row r="116" spans="1:3">
      <c r="A116" s="4">
        <v>114</v>
      </c>
      <c r="B116" s="5" t="s">
        <v>80</v>
      </c>
      <c r="C116" s="6">
        <v>0.032</v>
      </c>
    </row>
    <row r="117" spans="1:3">
      <c r="A117" s="4">
        <v>115</v>
      </c>
      <c r="B117" s="5" t="s">
        <v>426</v>
      </c>
      <c r="C117" s="6">
        <v>0.5</v>
      </c>
    </row>
    <row r="118" spans="1:3">
      <c r="A118" s="4">
        <v>116</v>
      </c>
      <c r="B118" s="5" t="s">
        <v>427</v>
      </c>
      <c r="C118" s="6">
        <v>0.025</v>
      </c>
    </row>
    <row r="119" spans="1:3">
      <c r="A119" s="4">
        <v>117</v>
      </c>
      <c r="B119" s="5" t="s">
        <v>428</v>
      </c>
      <c r="C119" s="6">
        <v>0.025</v>
      </c>
    </row>
    <row r="120" spans="1:3">
      <c r="A120" s="4">
        <v>118</v>
      </c>
      <c r="B120" s="5" t="s">
        <v>79</v>
      </c>
      <c r="C120" s="6">
        <v>1.282</v>
      </c>
    </row>
    <row r="121" spans="1:3">
      <c r="A121" s="4">
        <v>119</v>
      </c>
      <c r="B121" s="5" t="s">
        <v>429</v>
      </c>
      <c r="C121" s="6">
        <v>0.01</v>
      </c>
    </row>
    <row r="122" spans="1:3">
      <c r="A122" s="4">
        <v>120</v>
      </c>
      <c r="B122" s="5" t="s">
        <v>71</v>
      </c>
      <c r="C122" s="6">
        <v>0.047</v>
      </c>
    </row>
    <row r="123" spans="1:3">
      <c r="A123" s="4">
        <v>121</v>
      </c>
      <c r="B123" s="5" t="s">
        <v>97</v>
      </c>
      <c r="C123" s="6">
        <v>0.322</v>
      </c>
    </row>
    <row r="124" spans="1:3">
      <c r="A124" s="4">
        <v>122</v>
      </c>
      <c r="B124" s="5" t="s">
        <v>96</v>
      </c>
      <c r="C124" s="6">
        <v>0.365</v>
      </c>
    </row>
    <row r="125" spans="1:3">
      <c r="A125" s="4">
        <v>123</v>
      </c>
      <c r="B125" s="5" t="s">
        <v>99</v>
      </c>
      <c r="C125" s="6">
        <v>0.1975</v>
      </c>
    </row>
    <row r="126" spans="1:3">
      <c r="A126" s="4">
        <v>124</v>
      </c>
      <c r="B126" s="5" t="s">
        <v>98</v>
      </c>
      <c r="C126" s="6">
        <v>0.265</v>
      </c>
    </row>
    <row r="127" spans="1:3">
      <c r="A127" s="4">
        <v>125</v>
      </c>
      <c r="B127" s="5" t="s">
        <v>47</v>
      </c>
      <c r="C127" s="6">
        <v>2.359</v>
      </c>
    </row>
    <row r="128" spans="1:3">
      <c r="A128" s="4">
        <v>126</v>
      </c>
      <c r="B128" s="5" t="s">
        <v>77</v>
      </c>
      <c r="C128" s="6">
        <v>0.088</v>
      </c>
    </row>
    <row r="129" spans="1:3">
      <c r="A129" s="4">
        <v>127</v>
      </c>
      <c r="B129" s="5" t="s">
        <v>62</v>
      </c>
      <c r="C129" s="6">
        <v>0.0385</v>
      </c>
    </row>
    <row r="130" spans="1:3">
      <c r="A130" s="4">
        <v>128</v>
      </c>
      <c r="B130" s="5" t="s">
        <v>430</v>
      </c>
      <c r="C130" s="6">
        <v>2.9603</v>
      </c>
    </row>
    <row r="131" spans="1:3">
      <c r="A131" s="4">
        <v>129</v>
      </c>
      <c r="B131" s="5" t="s">
        <v>83</v>
      </c>
      <c r="C131" s="6">
        <v>1.4535</v>
      </c>
    </row>
    <row r="132" spans="1:3">
      <c r="A132" s="4">
        <v>130</v>
      </c>
      <c r="B132" s="5" t="s">
        <v>82</v>
      </c>
      <c r="C132" s="6">
        <v>0.0893</v>
      </c>
    </row>
    <row r="133" spans="1:3">
      <c r="A133" s="4">
        <v>131</v>
      </c>
      <c r="B133" s="5" t="s">
        <v>431</v>
      </c>
      <c r="C133" s="6">
        <v>3.5003</v>
      </c>
    </row>
    <row r="134" spans="1:3">
      <c r="A134" s="4">
        <v>132</v>
      </c>
      <c r="B134" s="5" t="s">
        <v>432</v>
      </c>
      <c r="C134" s="6">
        <v>2.962</v>
      </c>
    </row>
    <row r="135" spans="1:3">
      <c r="A135" s="4">
        <v>133</v>
      </c>
      <c r="B135" s="5" t="s">
        <v>433</v>
      </c>
      <c r="C135" s="6">
        <v>3.502</v>
      </c>
    </row>
    <row r="136" spans="1:3">
      <c r="A136" s="4">
        <v>134</v>
      </c>
      <c r="B136" s="5" t="s">
        <v>434</v>
      </c>
      <c r="C136" s="6">
        <v>2.962</v>
      </c>
    </row>
    <row r="137" spans="1:3">
      <c r="A137" s="4">
        <v>135</v>
      </c>
      <c r="B137" s="5" t="s">
        <v>435</v>
      </c>
      <c r="C137" s="6">
        <v>3.502</v>
      </c>
    </row>
    <row r="138" spans="1:3">
      <c r="A138" s="4">
        <v>136</v>
      </c>
      <c r="B138" s="5" t="s">
        <v>436</v>
      </c>
      <c r="C138" s="6">
        <v>0.54</v>
      </c>
    </row>
    <row r="139" spans="1:3">
      <c r="A139" s="4">
        <v>137</v>
      </c>
      <c r="B139" s="5" t="s">
        <v>119</v>
      </c>
      <c r="C139" s="6">
        <v>0.0253</v>
      </c>
    </row>
    <row r="140" spans="1:3">
      <c r="A140" s="4">
        <v>138</v>
      </c>
      <c r="B140" s="5" t="s">
        <v>437</v>
      </c>
      <c r="C140" s="6">
        <v>0.88</v>
      </c>
    </row>
    <row r="141" spans="1:3">
      <c r="A141" s="4">
        <v>139</v>
      </c>
      <c r="B141" s="5" t="s">
        <v>63</v>
      </c>
      <c r="C141" s="6">
        <v>0.672</v>
      </c>
    </row>
    <row r="142" spans="1:3">
      <c r="A142" s="4">
        <v>140</v>
      </c>
      <c r="B142" s="5" t="s">
        <v>438</v>
      </c>
      <c r="C142" s="6">
        <v>0.057</v>
      </c>
    </row>
    <row r="143" spans="1:3">
      <c r="A143" s="4">
        <v>141</v>
      </c>
      <c r="B143" s="5" t="s">
        <v>439</v>
      </c>
      <c r="C143" s="6">
        <v>0.031</v>
      </c>
    </row>
    <row r="144" spans="1:3">
      <c r="A144" s="4">
        <v>142</v>
      </c>
      <c r="B144" s="5" t="s">
        <v>440</v>
      </c>
      <c r="C144" s="6">
        <v>0.008</v>
      </c>
    </row>
    <row r="145" spans="1:3">
      <c r="A145" s="4">
        <v>143</v>
      </c>
      <c r="B145" s="5" t="s">
        <v>441</v>
      </c>
      <c r="C145" s="6">
        <v>0.0055</v>
      </c>
    </row>
    <row r="146" spans="1:3">
      <c r="A146" s="4">
        <v>144</v>
      </c>
      <c r="B146" s="5" t="s">
        <v>442</v>
      </c>
      <c r="C146" s="6">
        <v>1.72</v>
      </c>
    </row>
    <row r="147" spans="1:3">
      <c r="A147" s="4">
        <v>145</v>
      </c>
      <c r="B147" s="5" t="s">
        <v>443</v>
      </c>
      <c r="C147" s="6">
        <v>1.51</v>
      </c>
    </row>
    <row r="148" spans="1:3">
      <c r="A148" s="4">
        <v>146</v>
      </c>
      <c r="B148" s="5" t="s">
        <v>444</v>
      </c>
      <c r="C148" s="6">
        <v>1.51</v>
      </c>
    </row>
    <row r="149" spans="1:3">
      <c r="A149" s="4">
        <v>147</v>
      </c>
      <c r="B149" s="5" t="s">
        <v>31</v>
      </c>
      <c r="C149" s="6">
        <v>1.5</v>
      </c>
    </row>
    <row r="150" spans="1:3">
      <c r="A150" s="4">
        <v>148</v>
      </c>
      <c r="B150" s="5" t="s">
        <v>445</v>
      </c>
      <c r="C150" s="6">
        <v>3.25</v>
      </c>
    </row>
    <row r="151" spans="1:3">
      <c r="A151" s="4">
        <v>149</v>
      </c>
      <c r="B151" s="5" t="s">
        <v>446</v>
      </c>
      <c r="C151" s="6">
        <v>3.215</v>
      </c>
    </row>
    <row r="152" spans="1:3">
      <c r="A152" s="4">
        <v>150</v>
      </c>
      <c r="B152" s="5" t="s">
        <v>33</v>
      </c>
      <c r="C152" s="6">
        <v>2.225</v>
      </c>
    </row>
    <row r="153" spans="1:3">
      <c r="A153" s="4">
        <v>151</v>
      </c>
      <c r="B153" s="5" t="s">
        <v>39</v>
      </c>
      <c r="C153" s="6">
        <v>1.8</v>
      </c>
    </row>
    <row r="154" spans="1:3">
      <c r="A154" s="4">
        <v>152</v>
      </c>
      <c r="B154" s="5" t="s">
        <v>34</v>
      </c>
      <c r="C154" s="6">
        <v>2.3</v>
      </c>
    </row>
    <row r="155" spans="1:3">
      <c r="A155" s="4">
        <v>153</v>
      </c>
      <c r="B155" s="5" t="s">
        <v>35</v>
      </c>
      <c r="C155" s="6">
        <v>2.3</v>
      </c>
    </row>
    <row r="156" spans="1:3">
      <c r="A156" s="4">
        <v>154</v>
      </c>
      <c r="B156" s="5" t="s">
        <v>36</v>
      </c>
      <c r="C156" s="6">
        <v>2.3</v>
      </c>
    </row>
    <row r="157" spans="1:3">
      <c r="A157" s="4">
        <v>155</v>
      </c>
      <c r="B157" s="5" t="s">
        <v>447</v>
      </c>
      <c r="C157" s="6">
        <v>3.903</v>
      </c>
    </row>
    <row r="158" spans="1:3">
      <c r="A158" s="4">
        <v>156</v>
      </c>
      <c r="B158" s="5" t="s">
        <v>32</v>
      </c>
      <c r="C158" s="6">
        <v>0.886</v>
      </c>
    </row>
    <row r="159" spans="1:3">
      <c r="A159" s="4">
        <v>157</v>
      </c>
      <c r="B159" s="5" t="s">
        <v>37</v>
      </c>
      <c r="C159" s="6">
        <v>0.75</v>
      </c>
    </row>
    <row r="160" spans="1:3">
      <c r="A160" s="4">
        <v>158</v>
      </c>
      <c r="B160" s="5" t="s">
        <v>448</v>
      </c>
      <c r="C160" s="6">
        <v>0.75</v>
      </c>
    </row>
    <row r="161" spans="1:3">
      <c r="A161" s="4">
        <v>159</v>
      </c>
      <c r="B161" s="5" t="s">
        <v>38</v>
      </c>
      <c r="C161" s="6">
        <v>1.97</v>
      </c>
    </row>
    <row r="162" spans="1:3">
      <c r="A162" s="4">
        <v>160</v>
      </c>
      <c r="B162" s="5" t="s">
        <v>40</v>
      </c>
      <c r="C162" s="6">
        <v>1.605</v>
      </c>
    </row>
    <row r="163" spans="1:3">
      <c r="A163" s="4">
        <v>161</v>
      </c>
      <c r="B163" s="5" t="s">
        <v>449</v>
      </c>
      <c r="C163" s="6">
        <v>2.055</v>
      </c>
    </row>
    <row r="164" spans="1:3">
      <c r="A164" s="4">
        <v>162</v>
      </c>
      <c r="B164" s="5" t="s">
        <v>450</v>
      </c>
      <c r="C164" s="6">
        <v>3.05</v>
      </c>
    </row>
    <row r="165" spans="1:3">
      <c r="A165" s="4">
        <v>163</v>
      </c>
      <c r="B165" s="5" t="s">
        <v>41</v>
      </c>
      <c r="C165" s="6">
        <v>1.74</v>
      </c>
    </row>
    <row r="166" spans="1:3">
      <c r="A166" s="4">
        <v>164</v>
      </c>
      <c r="B166" s="5" t="s">
        <v>451</v>
      </c>
      <c r="C166" s="6">
        <v>0.0053</v>
      </c>
    </row>
    <row r="167" spans="1:3">
      <c r="A167" s="4">
        <v>165</v>
      </c>
      <c r="B167" s="5" t="s">
        <v>114</v>
      </c>
      <c r="C167" s="6">
        <v>0.0072</v>
      </c>
    </row>
    <row r="168" spans="1:3">
      <c r="A168" s="4">
        <v>166</v>
      </c>
      <c r="B168" s="5" t="s">
        <v>452</v>
      </c>
      <c r="C168" s="6">
        <v>0.0125</v>
      </c>
    </row>
    <row r="169" spans="1:3">
      <c r="A169" s="4">
        <v>167</v>
      </c>
      <c r="B169" s="5" t="s">
        <v>453</v>
      </c>
      <c r="C169" s="6">
        <v>0.031</v>
      </c>
    </row>
    <row r="170" spans="1:3">
      <c r="A170" s="4">
        <v>168</v>
      </c>
      <c r="B170" s="5" t="s">
        <v>105</v>
      </c>
      <c r="C170" s="6">
        <v>0.031</v>
      </c>
    </row>
    <row r="171" spans="1:3">
      <c r="A171" s="4">
        <v>169</v>
      </c>
      <c r="B171" s="5" t="s">
        <v>454</v>
      </c>
      <c r="C171" s="6">
        <v>0.0155</v>
      </c>
    </row>
    <row r="172" spans="1:3">
      <c r="A172" s="4">
        <v>170</v>
      </c>
      <c r="B172" s="5" t="s">
        <v>129</v>
      </c>
      <c r="C172" s="6">
        <v>0.0021</v>
      </c>
    </row>
    <row r="173" spans="1:3">
      <c r="A173" s="4">
        <v>171</v>
      </c>
      <c r="B173" s="5" t="s">
        <v>131</v>
      </c>
      <c r="C173" s="6">
        <v>0.0081</v>
      </c>
    </row>
    <row r="174" spans="1:3">
      <c r="A174" s="4">
        <v>172</v>
      </c>
      <c r="B174" s="5" t="s">
        <v>455</v>
      </c>
      <c r="C174" s="6">
        <v>0.0081</v>
      </c>
    </row>
    <row r="175" spans="1:3">
      <c r="A175" s="4">
        <v>173</v>
      </c>
      <c r="B175" s="5" t="s">
        <v>132</v>
      </c>
      <c r="C175" s="6">
        <v>0.0123</v>
      </c>
    </row>
    <row r="176" spans="1:3">
      <c r="A176" s="4">
        <v>174</v>
      </c>
      <c r="B176" s="5" t="s">
        <v>137</v>
      </c>
      <c r="C176" s="6">
        <v>0.0045</v>
      </c>
    </row>
    <row r="177" spans="1:3">
      <c r="A177" s="4">
        <v>175</v>
      </c>
      <c r="B177" s="5" t="s">
        <v>138</v>
      </c>
      <c r="C177" s="6">
        <v>0.0095</v>
      </c>
    </row>
    <row r="178" spans="1:3">
      <c r="A178" s="4">
        <v>176</v>
      </c>
      <c r="B178" s="5" t="s">
        <v>133</v>
      </c>
      <c r="C178" s="6">
        <v>0.0018</v>
      </c>
    </row>
    <row r="179" spans="1:3">
      <c r="A179" s="4">
        <v>177</v>
      </c>
      <c r="B179" s="5" t="s">
        <v>134</v>
      </c>
      <c r="C179" s="6">
        <v>0.0048</v>
      </c>
    </row>
    <row r="180" spans="1:3">
      <c r="A180" s="4">
        <v>178</v>
      </c>
      <c r="B180" s="5" t="s">
        <v>135</v>
      </c>
      <c r="C180" s="6">
        <v>0.003</v>
      </c>
    </row>
    <row r="181" spans="1:3">
      <c r="A181" s="4">
        <v>179</v>
      </c>
      <c r="B181" s="5" t="s">
        <v>136</v>
      </c>
      <c r="C181" s="6">
        <v>0.0068</v>
      </c>
    </row>
    <row r="182" spans="1:3">
      <c r="A182" s="4">
        <v>180</v>
      </c>
      <c r="B182" s="5" t="s">
        <v>111</v>
      </c>
      <c r="C182" s="6">
        <v>0.041</v>
      </c>
    </row>
    <row r="183" spans="1:3">
      <c r="A183" s="4">
        <v>181</v>
      </c>
      <c r="B183" s="5" t="s">
        <v>456</v>
      </c>
      <c r="C183" s="6">
        <v>0.007</v>
      </c>
    </row>
    <row r="184" spans="1:3">
      <c r="A184" s="4">
        <v>182</v>
      </c>
      <c r="B184" s="5" t="s">
        <v>100</v>
      </c>
      <c r="C184" s="6">
        <v>0.1</v>
      </c>
    </row>
    <row r="185" spans="1:3">
      <c r="A185" s="4">
        <v>183</v>
      </c>
      <c r="B185" s="5" t="s">
        <v>457</v>
      </c>
      <c r="C185" s="6">
        <v>0.021</v>
      </c>
    </row>
    <row r="186" spans="1:3">
      <c r="A186" s="4">
        <v>184</v>
      </c>
      <c r="B186" s="5" t="s">
        <v>106</v>
      </c>
      <c r="C186" s="6">
        <v>0.021</v>
      </c>
    </row>
    <row r="187" spans="1:3">
      <c r="A187" s="4">
        <v>185</v>
      </c>
      <c r="B187" s="5" t="s">
        <v>130</v>
      </c>
      <c r="C187" s="6">
        <v>0.0023</v>
      </c>
    </row>
    <row r="188" spans="1:3">
      <c r="A188" s="4">
        <v>186</v>
      </c>
      <c r="B188" s="5" t="s">
        <v>458</v>
      </c>
      <c r="C188" s="6">
        <v>0.026</v>
      </c>
    </row>
    <row r="189" spans="1:3">
      <c r="A189" s="4">
        <v>187</v>
      </c>
      <c r="B189" s="5" t="s">
        <v>459</v>
      </c>
      <c r="C189" s="6">
        <v>0.071</v>
      </c>
    </row>
    <row r="190" spans="1:3">
      <c r="A190" s="4">
        <v>188</v>
      </c>
      <c r="B190" s="5" t="s">
        <v>125</v>
      </c>
      <c r="C190" s="6">
        <v>0.071</v>
      </c>
    </row>
    <row r="191" spans="1:3">
      <c r="A191" s="4">
        <v>189</v>
      </c>
      <c r="B191" s="5" t="s">
        <v>460</v>
      </c>
      <c r="C191" s="6">
        <v>0.071</v>
      </c>
    </row>
    <row r="192" spans="1:3">
      <c r="A192" s="4">
        <v>190</v>
      </c>
      <c r="B192" s="5" t="s">
        <v>126</v>
      </c>
      <c r="C192" s="6">
        <v>0.071</v>
      </c>
    </row>
    <row r="193" spans="1:3">
      <c r="A193" s="4">
        <v>191</v>
      </c>
      <c r="B193" s="5" t="s">
        <v>461</v>
      </c>
      <c r="C193" s="6">
        <v>0.083</v>
      </c>
    </row>
    <row r="194" spans="1:3">
      <c r="A194" s="4">
        <v>192</v>
      </c>
      <c r="B194" s="5" t="s">
        <v>127</v>
      </c>
      <c r="C194" s="6">
        <v>0.083</v>
      </c>
    </row>
    <row r="195" spans="1:3">
      <c r="A195" s="4">
        <v>193</v>
      </c>
      <c r="B195" s="5" t="s">
        <v>462</v>
      </c>
      <c r="C195" s="6">
        <v>0.083</v>
      </c>
    </row>
    <row r="196" spans="1:3">
      <c r="A196" s="4">
        <v>194</v>
      </c>
      <c r="B196" s="5" t="s">
        <v>128</v>
      </c>
      <c r="C196" s="6">
        <v>0.083</v>
      </c>
    </row>
    <row r="197" spans="1:3">
      <c r="A197" s="4">
        <v>195</v>
      </c>
      <c r="B197" s="5" t="s">
        <v>120</v>
      </c>
      <c r="C197" s="6">
        <v>0.022</v>
      </c>
    </row>
    <row r="198" spans="1:3">
      <c r="A198" s="4">
        <v>196</v>
      </c>
      <c r="B198" s="5" t="s">
        <v>121</v>
      </c>
      <c r="C198" s="6">
        <v>0.026</v>
      </c>
    </row>
    <row r="199" spans="1:3">
      <c r="A199" s="4">
        <v>197</v>
      </c>
      <c r="B199" s="5" t="s">
        <v>122</v>
      </c>
      <c r="C199" s="6">
        <v>0.026</v>
      </c>
    </row>
    <row r="200" spans="1:3">
      <c r="A200" s="4">
        <v>198</v>
      </c>
      <c r="B200" s="5" t="s">
        <v>123</v>
      </c>
      <c r="C200" s="6">
        <v>0.041</v>
      </c>
    </row>
    <row r="201" spans="1:3">
      <c r="A201" s="4">
        <v>199</v>
      </c>
      <c r="B201" s="5" t="s">
        <v>124</v>
      </c>
      <c r="C201" s="6">
        <v>0.046</v>
      </c>
    </row>
    <row r="202" spans="1:3">
      <c r="A202" s="4">
        <v>200</v>
      </c>
      <c r="B202" s="5" t="s">
        <v>107</v>
      </c>
      <c r="C202" s="6">
        <v>0.003</v>
      </c>
    </row>
    <row r="203" spans="1:3">
      <c r="A203" s="4">
        <v>201</v>
      </c>
      <c r="B203" s="5" t="s">
        <v>108</v>
      </c>
      <c r="C203" s="6">
        <v>0.019</v>
      </c>
    </row>
    <row r="204" spans="1:3">
      <c r="A204" s="4">
        <v>202</v>
      </c>
      <c r="B204" s="5" t="s">
        <v>463</v>
      </c>
      <c r="C204" s="6">
        <v>0.0018</v>
      </c>
    </row>
    <row r="205" spans="1:3">
      <c r="A205" s="4">
        <v>203</v>
      </c>
      <c r="B205" s="5" t="s">
        <v>464</v>
      </c>
      <c r="C205" s="6">
        <v>0.0018</v>
      </c>
    </row>
    <row r="206" spans="1:3">
      <c r="A206" s="4">
        <v>204</v>
      </c>
      <c r="B206" s="5" t="s">
        <v>115</v>
      </c>
      <c r="C206" s="6">
        <v>0.0283</v>
      </c>
    </row>
  </sheetData>
  <sheetProtection algorithmName="SHA-512" hashValue="M7Vgg/WXl1JQFImJBJRTh25ohNWoHIi8m6pvOLs8vWUm6+8XhFAIWILw2PuRZt+K7UBKtoVMiYRygwiWnIJGng==" saltValue="VooXtJ3go+Ddovl360NuyA==" spinCount="100000" sheet="1"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15" master="" otherUserPermission="visible"/>
  <rangeList sheetStid="18" master="" otherUserPermission="visible"/>
  <rangeList sheetStid="1" master="" otherUserPermission="visible"/>
  <rangeList sheetStid="14" master="" otherUserPermission="visible"/>
  <rangeList sheetStid="4" master="" otherUserPermission="visible"/>
  <rangeList sheetStid="13" master="" otherUserPermission="visible"/>
  <rangeList sheetStid="2" master="" otherUserPermission="visible"/>
  <rangeList sheetStid="3" master="" otherUserPermission="visible"/>
  <rangeList sheetStid="5" master="" otherUserPermission="visible"/>
  <rangeList sheetStid="8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Dashboard</vt:lpstr>
      <vt:lpstr>FG Store</vt:lpstr>
      <vt:lpstr>Sheet4</vt:lpstr>
      <vt:lpstr>Production</vt:lpstr>
      <vt:lpstr>Machines</vt:lpstr>
      <vt:lpstr>Production vs Sales</vt:lpstr>
      <vt:lpstr>Sales</vt:lpstr>
      <vt:lpstr>Downtime</vt:lpstr>
      <vt:lpstr>Raw Materials</vt:lpstr>
      <vt:lpstr>Manpower</vt:lpstr>
      <vt:lpstr>Calculations</vt:lpstr>
      <vt:lpstr>Prod 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NEC</cp:lastModifiedBy>
  <dcterms:created xsi:type="dcterms:W3CDTF">2026-05-13T12:58:00Z</dcterms:created>
  <cp:lastPrinted>2026-05-20T21:55:00Z</cp:lastPrinted>
  <dcterms:modified xsi:type="dcterms:W3CDTF">2026-05-28T17:02:19Z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8F8292232AD74C6C8729D65DC387F1EE_13</vt:lpwstr>
  </property>
</Properties>
</file>